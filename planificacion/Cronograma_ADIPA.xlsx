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307e7aee1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b6b8159f58bb4705"/>
    <x:sheet xmlns:r="http://schemas.openxmlformats.org/officeDocument/2006/relationships" name="Gantt 2 Sprints" sheetId="2" r:id="R14a081a924c8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D&quot;0"/>
    <x:numFmt numFmtId="201" formatCode=";;;"/>
    <x:numFmt numFmtId="202" formatCode="0"/>
  </x:numFmts>
  <x:fonts count="18">
    <x:font>
      <x:sz val="11"/>
      <x:name val="Carlito"/>
    </x:font>
    <x:font>
      <x:sz val="11"/>
      <x:color rgb="FF25374A"/>
      <x:name val="Arial"/>
    </x:font>
    <x:font>
      <x:b/>
      <x:sz val="19"/>
      <x:color rgb="FF234C68"/>
      <x:name val="Arial"/>
    </x:font>
    <x:font>
      <x:i/>
      <x:sz val="11"/>
      <x:color rgb="FF586979"/>
      <x:name val="Arial"/>
    </x:font>
    <x:font>
      <x:b/>
      <x:sz val="11"/>
      <x:color rgb="FFFFFFFF"/>
      <x:name val="Arial"/>
    </x:font>
    <x:font>
      <x:b/>
      <x:sz val="11"/>
      <x:color rgb="FF25374A"/>
      <x:name val="Arial"/>
    </x:font>
    <x:font>
      <x:sz val="11"/>
      <x:color rgb="FF243746"/>
      <x:name val="Arial"/>
    </x:font>
    <x:font>
      <x:b/>
      <x:sz val="20"/>
      <x:color rgb="FF1F4E78"/>
      <x:name val="Arial"/>
    </x:font>
    <x:font>
      <x:b/>
      <x:sz val="13"/>
      <x:color rgb="FF1F4E78"/>
      <x:name val="Arial"/>
    </x:font>
    <x:font>
      <x:sz val="10"/>
      <x:color rgb="FF586979"/>
      <x:name val="Arial"/>
    </x:font>
    <x:font>
      <x:b/>
      <x:sz val="11"/>
      <x:color rgb="FF243746"/>
      <x:name val="Arial"/>
    </x:font>
    <x:font>
      <x:sz val="9"/>
      <x:color rgb="FF586979"/>
      <x:name val="Arial"/>
    </x:font>
    <x:font>
      <x:sz val="10"/>
      <x:color rgb="FF243746"/>
      <x:name val="Arial"/>
    </x:font>
    <x:font>
      <x:b/>
      <x:sz val="10"/>
      <x:color rgb="FF1F4E78"/>
      <x:name val="Arial"/>
    </x:font>
    <x:font>
      <x:b/>
      <x:sz val="10"/>
      <x:color rgb="FFC26528"/>
      <x:name val="Arial"/>
    </x:font>
    <x:font>
      <x:b/>
      <x:sz val="10"/>
      <x:color rgb="FFB88A08"/>
      <x:name val="Arial"/>
    </x:font>
    <x:font>
      <x:b/>
      <x:sz val="10"/>
      <x:color rgb="FF777777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34C68"/>
      </x:patternFill>
    </x:fill>
    <x:fill>
      <x:patternFill patternType="solid">
        <x:fgColor rgb="FFEFF4F8"/>
      </x:patternFill>
    </x:fill>
    <x:fill>
      <x:patternFill patternType="solid">
        <x:fgColor rgb="FFDFEAF3"/>
      </x:patternFill>
    </x:fill>
    <x:fill>
      <x:patternFill patternType="solid">
        <x:fgColor rgb="FFFCEAD1"/>
      </x:patternFill>
    </x:fill>
    <x:fill>
      <x:patternFill patternType="solid">
        <x:fgColor rgb="FF1F4E78"/>
      </x:patternFill>
    </x:fill>
    <x:fill>
      <x:patternFill patternType="solid">
        <x:fgColor rgb="FFF5F7F9"/>
      </x:patternFill>
    </x:fill>
    <x:fill>
      <x:patternFill patternType="solid">
        <x:fgColor rgb="FFFFF4D6"/>
      </x:patternFill>
    </x:fill>
  </x:fills>
  <x:borders count="9">
    <x:border/>
    <x:border>
      <x:right style="thin">
        <x:color rgb="FFE3E8EC"/>
      </x:right>
    </x:border>
    <x:border>
      <x:left style="thin">
        <x:color rgb="FFE3E8EC"/>
      </x:left>
      <x:right style="thin">
        <x:color rgb="FFE3E8EC"/>
      </x:right>
    </x:border>
    <x:border>
      <x:left style="thin">
        <x:color rgb="FFE3E8EC"/>
      </x:left>
    </x:border>
    <x:border>
      <x:left style="dashed">
        <x:color rgb="FF1F4E78"/>
      </x:left>
      <x:right style="thin">
        <x:color rgb="FFE3E8EC"/>
      </x:right>
    </x:border>
    <x:border>
      <x:right style="thin">
        <x:color rgb="FFE3E8EC"/>
      </x:right>
      <x:top style="thick">
        <x:color rgb="FFFFFFFF"/>
      </x:top>
      <x:bottom style="thick">
        <x:color rgb="FFFFFFFF"/>
      </x:bottom>
    </x:border>
    <x:border>
      <x:left style="thin">
        <x:color rgb="FFE3E8EC"/>
      </x:left>
      <x:right style="thin">
        <x:color rgb="FFE3E8EC"/>
      </x:right>
      <x:top style="thick">
        <x:color rgb="FFFFFFFF"/>
      </x:top>
      <x:bottom style="thick">
        <x:color rgb="FFFFFFFF"/>
      </x:bottom>
    </x:border>
    <x:border>
      <x:left style="dashed">
        <x:color rgb="FF1F4E78"/>
      </x:left>
      <x:right style="thin">
        <x:color rgb="FFE3E8EC"/>
      </x:right>
      <x:top style="thick">
        <x:color rgb="FFFFFFFF"/>
      </x:top>
      <x:bottom style="thick">
        <x:color rgb="FFFFFFFF"/>
      </x:bottom>
    </x:border>
    <x:border>
      <x:left style="thin">
        <x:color rgb="FFE3E8EC"/>
      </x:left>
      <x:top style="thick">
        <x:color rgb="FFFFFFFF"/>
      </x:top>
      <x:bottom style="thick">
        <x:color rgb="FFFFFFFF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center" vertical="center"/>
    </x:xf>
    <x:xf numFmtId="200" fontId="11" fillId="0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201" fontId="6" fillId="7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201" fontId="6" fillId="7" borderId="1" xfId="0" applyNumberFormat="1" applyFont="1" applyFill="1" applyBorder="1" applyAlignment="1">
      <x:alignment vertical="center"/>
    </x:xf>
    <x:xf numFmtId="201" fontId="6" fillId="7" borderId="2" xfId="0" applyNumberFormat="1" applyFont="1" applyFill="1" applyBorder="1" applyAlignment="1">
      <x:alignment vertical="center"/>
    </x:xf>
    <x:xf numFmtId="201" fontId="6" fillId="7" borderId="3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201" fontId="6" fillId="7" borderId="4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7" borderId="5" xfId="0" applyNumberFormat="1" applyFont="1" applyFill="1" applyBorder="1" applyAlignment="1">
      <x:alignment vertical="center"/>
    </x:xf>
    <x:xf numFmtId="201" fontId="6" fillId="7" borderId="6" xfId="0" applyNumberFormat="1" applyFont="1" applyFill="1" applyBorder="1" applyAlignment="1">
      <x:alignment vertical="center"/>
    </x:xf>
    <x:xf numFmtId="201" fontId="6" fillId="7" borderId="7" xfId="0" applyNumberFormat="1" applyFont="1" applyFill="1" applyBorder="1" applyAlignment="1">
      <x:alignment vertical="center"/>
    </x:xf>
    <x:xf numFmtId="201" fontId="6" fillId="7" borderId="8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17" fillId="6" borderId="0" xfId="0" applyNumberFormat="1" applyFont="1" applyFill="1" applyBorder="1"/>
    <x:xf numFmtId="0" fontId="12" fillId="8" borderId="0" xfId="0" applyNumberFormat="1" applyFont="1" applyFill="1" applyBorder="1"/>
    <x:xf numFmtId="202" fontId="12" fillId="8" borderId="0" xfId="0" applyNumberFormat="1" applyFont="1" applyFill="1" applyBorder="1"/>
  </x:cellXfs>
  <x:cellStyles count="1">
    <x:cellStyle name="Normal" xfId="0"/>
  </x:cellStyles>
  <x:dxfs count="18">
    <x:dxf>
      <x:fill>
        <x:patternFill patternType="solid">
          <x:bgColor rgb="FFB88A08"/>
        </x:patternFill>
      </x:fill>
    </x:dxf>
    <x:dxf>
      <x:fill>
        <x:patternFill patternType="solid">
          <x:bgColor rgb="FF1F4E78"/>
        </x:patternFill>
      </x:fill>
    </x:dxf>
    <x:dxf>
      <x:fill>
        <x:patternFill patternType="solid">
          <x:bgColor rgb="FF1F4E78"/>
        </x:patternFill>
      </x:fill>
    </x:dxf>
    <x:dxf>
      <x:fill>
        <x:patternFill patternType="solid">
          <x:bgColor rgb="FF1F4E78"/>
        </x:patternFill>
      </x:fill>
    </x:dxf>
    <x:dxf>
      <x:fill>
        <x:patternFill patternType="solid">
          <x:bgColor rgb="FF1F4E78"/>
        </x:patternFill>
      </x:fill>
    </x:dxf>
    <x:dxf>
      <x:fill>
        <x:patternFill patternType="solid">
          <x:bgColor rgb="FFB8B8B8"/>
        </x:patternFill>
      </x:fill>
    </x:dxf>
    <x:dxf>
      <x:fill>
        <x:patternFill patternType="solid">
          <x:bgColor rgb="FF1F4E78"/>
        </x:patternFill>
      </x:fill>
    </x:dxf>
    <x:dxf>
      <x:fill>
        <x:patternFill patternType="solid">
          <x:bgColor rgb="FFB88A08"/>
        </x:patternFill>
      </x:fill>
    </x:dxf>
    <x:dxf>
      <x:fill>
        <x:patternFill patternType="solid">
          <x:bgColor rgb="FFB88A08"/>
        </x:patternFill>
      </x:fill>
    </x:dxf>
    <x:dxf>
      <x:fill>
        <x:patternFill patternType="solid">
          <x:bgColor rgb="FFB88A08"/>
        </x:patternFill>
      </x:fill>
    </x:dxf>
    <x:dxf>
      <x:fill>
        <x:patternFill patternType="solid">
          <x:bgColor rgb="FFC26528"/>
        </x:patternFill>
      </x:fill>
    </x:dxf>
    <x:dxf>
      <x:fill>
        <x:patternFill patternType="solid">
          <x:bgColor rgb="FFC26528"/>
        </x:patternFill>
      </x:fill>
    </x:dxf>
    <x:dxf>
      <x:fill>
        <x:patternFill patternType="solid">
          <x:bgColor rgb="FFC26528"/>
        </x:patternFill>
      </x:fill>
    </x:dxf>
    <x:dxf>
      <x:fill>
        <x:patternFill patternType="solid">
          <x:bgColor rgb="FFB8B8B8"/>
        </x:patternFill>
      </x:fill>
    </x:dxf>
    <x:dxf>
      <x:fill>
        <x:patternFill patternType="solid">
          <x:bgColor rgb="FFC26528"/>
        </x:patternFill>
      </x:fill>
    </x:dxf>
    <x:dxf>
      <x:fill>
        <x:patternFill patternType="solid">
          <x:bgColor rgb="FFC26528"/>
        </x:patternFill>
      </x:fill>
    </x:dxf>
    <x:dxf>
      <x:fill>
        <x:patternFill patternType="solid">
          <x:bgColor rgb="FFB88A08"/>
        </x:patternFill>
      </x:fill>
    </x:dxf>
    <x:dxf>
      <x:fill>
        <x:patternFill patternType="solid">
          <x:bgColor rgb="FFB88A0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a73d3654a4931" /><Relationship Type="http://schemas.openxmlformats.org/officeDocument/2006/relationships/theme" Target="/xl/theme/theme1.xml" Id="R1d09310ecfdd4d00" /><Relationship Type="http://schemas.openxmlformats.org/officeDocument/2006/relationships/sharedStrings" Target="/xl/sharedStrings.xml" Id="R9c2023edefd744f6" /><Relationship Type="http://schemas.openxmlformats.org/officeDocument/2006/relationships/worksheet" Target="/xl/worksheets/sheet1.xml" Id="Rb6b8159f58bb4705" /><Relationship Type="http://schemas.openxmlformats.org/officeDocument/2006/relationships/worksheet" Target="/xl/worksheets/sheet2.xml" Id="R14a081a924c8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25" hidden="0" customWidth="1"/>
    <x:col min="2" max="2" width="10" hidden="0" customWidth="1"/>
    <x:col min="3" max="3" width="28.75" hidden="0" customWidth="1"/>
    <x:col min="4" max="4" width="58.130001068115234" hidden="0" customWidth="1"/>
    <x:col min="5" max="5" width="15" hidden="0" customWidth="1"/>
    <x:col min="6" max="6" width="20.6299991607666" hidden="0" customWidth="1"/>
  </x:cols>
  <x:sheetData>
    <x:row r="1" ht="34" customHeight="1">
      <x:c r="A1" s="2" t="str">
        <x:v>ADIPA · Cronograma del proyecto</x:v>
      </x:c>
      <x:c r="B1" s="1"/>
      <x:c r="C1" s="1"/>
      <x:c r="D1" s="1"/>
      <x:c r="E1" s="1"/>
      <x:c r="F1" s="1"/>
    </x:row>
    <x:row r="2" ht="25" customHeight="1">
      <x:c r="A2" s="3" t="str">
        <x:v>Chatbot de consultas de colaboradores · Dos etapas de 10 días hábiles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0" customHeight="1">
      <x:c r="A4" s="6" t="str">
        <x:v>Etapa</x:v>
      </x:c>
      <x:c r="B4" s="6" t="str">
        <x:v>Días</x:v>
      </x:c>
      <x:c r="C4" s="6" t="str">
        <x:v>Actividad</x:v>
      </x:c>
      <x:c r="D4" s="6" t="str">
        <x:v>Detalle</x:v>
      </x:c>
      <x:c r="E4" s="6" t="str">
        <x:v>Tipo</x:v>
      </x:c>
      <x:c r="F4" s="6" t="str">
        <x:v>Responsable</x:v>
      </x:c>
    </x:row>
    <x:row r="5" ht="67" customHeight="1">
      <x:c r="A5" s="9" t="str">
        <x:v>Etapa 1</x:v>
      </x:c>
      <x:c r="B5" s="9" t="str">
        <x:v>1</x:v>
      </x:c>
      <x:c r="C5" s="9" t="str">
        <x:v>Planificación inicial</x:v>
      </x:c>
      <x:c r="D5" s="9" t="str">
        <x:v>Definir el objetivo, priorizar tareas y acordar el diseño de clasificación y registro.</x:v>
      </x:c>
      <x:c r="E5" s="9" t="str">
        <x:v>Coordinación</x:v>
      </x:c>
      <x:c r="F5" s="9" t="str">
        <x:v>Equipo del proyecto</x:v>
      </x:c>
    </x:row>
    <x:row r="6" ht="67" customHeight="1">
      <x:c r="A6" s="8" t="str">
        <x:v>Etapa 1</x:v>
      </x:c>
      <x:c r="B6" s="8" t="str">
        <x:v>2–4</x:v>
      </x:c>
      <x:c r="C6" s="8" t="str">
        <x:v>Canal común y clasificación</x:v>
      </x:c>
      <x:c r="D6" s="8" t="str">
        <x:v>Configurar la recepción de mensajes en n8n y las reglas para vacaciones y acceso a Platzi.</x:v>
      </x:c>
      <x:c r="E6" s="8" t="str">
        <x:v>Construcción</x:v>
      </x:c>
      <x:c r="F6" s="8" t="str">
        <x:v>Equipo ejecutor</x:v>
      </x:c>
    </x:row>
    <x:row r="7" ht="67" customHeight="1">
      <x:c r="A7" s="9" t="str">
        <x:v>Etapa 1</x:v>
      </x:c>
      <x:c r="B7" s="9" t="str">
        <x:v>4–7</x:v>
      </x:c>
      <x:c r="C7" s="9" t="str">
        <x:v>Respuestas y registro</x:v>
      </x:c>
      <x:c r="D7" s="9" t="str">
        <x:v>Preparar respuestas con los documentos de ADIPA e implementar el registro en todas las rutas.</x:v>
      </x:c>
      <x:c r="E7" s="9" t="str">
        <x:v>Construcción</x:v>
      </x:c>
      <x:c r="F7" s="9" t="str">
        <x:v>Equipo ejecutor</x:v>
      </x:c>
    </x:row>
    <x:row r="8" ht="67" customHeight="1">
      <x:c r="A8" s="8" t="str">
        <x:v>Etapa 1</x:v>
      </x:c>
      <x:c r="B8" s="8" t="str">
        <x:v>8–9</x:v>
      </x:c>
      <x:c r="C8" s="8" t="str">
        <x:v>Pruebas de vacaciones y Platzi</x:v>
      </x:c>
      <x:c r="D8" s="8" t="str">
        <x:v>Ejecutar ambos casos y ajustar las respuestas y derivaciones según los resultados.</x:v>
      </x:c>
      <x:c r="E8" s="8" t="str">
        <x:v>Pruebas</x:v>
      </x:c>
      <x:c r="F8" s="8" t="str">
        <x:v>Equipo ejecutor</x:v>
      </x:c>
    </x:row>
    <x:row r="9" ht="67" customHeight="1">
      <x:c r="A9" s="9" t="str">
        <x:v>Etapa 1</x:v>
      </x:c>
      <x:c r="B9" s="9" t="str">
        <x:v>10</x:v>
      </x:c>
      <x:c r="C9" s="9" t="str">
        <x:v>Revisión y cierre de etapa</x:v>
      </x:c>
      <x:c r="D9" s="9" t="str">
        <x:v>Mostrar los avances a las contrapartes y acordar mejoras para la siguiente etapa.</x:v>
      </x:c>
      <x:c r="E9" s="9" t="str">
        <x:v>Coordinación</x:v>
      </x:c>
      <x:c r="F9" s="9" t="str">
        <x:v>Equipo del proyecto</x:v>
      </x:c>
    </x:row>
    <x:row r="10" ht="67" customHeight="1">
      <x:c r="A10" s="8" t="str">
        <x:v>Etapa 2</x:v>
      </x:c>
      <x:c r="B10" s="8" t="str">
        <x:v>11</x:v>
      </x:c>
      <x:c r="C10" s="8" t="str">
        <x:v>Planificación de la segunda etapa</x:v>
      </x:c>
      <x:c r="D10" s="8" t="str">
        <x:v>Acordar las rutas urgentes y sensibles y el apoyo de IA para consultas no previstas.</x:v>
      </x:c>
      <x:c r="E10" s="8" t="str">
        <x:v>Coordinación</x:v>
      </x:c>
      <x:c r="F10" s="8" t="str">
        <x:v>Equipo del proyecto</x:v>
      </x:c>
    </x:row>
    <x:row r="11" ht="67" customHeight="1">
      <x:c r="A11" s="9" t="str">
        <x:v>Etapa 2</x:v>
      </x:c>
      <x:c r="B11" s="9" t="str">
        <x:v>12–15</x:v>
      </x:c>
      <x:c r="C11" s="9" t="str">
        <x:v>Ley Karin y accidentes</x:v>
      </x:c>
      <x:c r="D11" s="9" t="str">
        <x:v>Validar las respuestas de Ley Karin con las áreas responsables y configurar el aviso de accidentes a Jefatura Directa.</x:v>
      </x:c>
      <x:c r="E11" s="9" t="str">
        <x:v>Construcción</x:v>
      </x:c>
      <x:c r="F11" s="9" t="str">
        <x:v>Equipo ejecutor</x:v>
      </x:c>
    </x:row>
    <x:row r="12" ht="67" customHeight="1">
      <x:c r="A12" s="8" t="str">
        <x:v>Etapa 2</x:v>
      </x:c>
      <x:c r="B12" s="8" t="str">
        <x:v>14–17</x:v>
      </x:c>
      <x:c r="C12" s="8" t="str">
        <x:v>Apoyo de IA y documentos</x:v>
      </x:c>
      <x:c r="D12" s="8" t="str">
        <x:v>Integrar IA con búsqueda en la documentación para preguntas que no cubren las reglas.</x:v>
      </x:c>
      <x:c r="E12" s="8" t="str">
        <x:v>Construcción</x:v>
      </x:c>
      <x:c r="F12" s="8" t="str">
        <x:v>Equipo ejecutor</x:v>
      </x:c>
    </x:row>
    <x:row r="13" ht="67" customHeight="1">
      <x:c r="A13" s="9" t="str">
        <x:v>Etapa 2</x:v>
      </x:c>
      <x:c r="B13" s="9" t="str">
        <x:v>16–18</x:v>
      </x:c>
      <x:c r="C13" s="9" t="str">
        <x:v>Reporte de gestión</x:v>
      </x:c>
      <x:c r="D13" s="9" t="str">
        <x:v>Preparar un reporte básico de volumen y tiempos si el avance lo permite. No condiciona el cierre.</x:v>
      </x:c>
      <x:c r="E13" s="9" t="str">
        <x:v>Opcional</x:v>
      </x:c>
      <x:c r="F13" s="9" t="str">
        <x:v>Equipo ejecutor</x:v>
      </x:c>
    </x:row>
    <x:row r="14" ht="67" customHeight="1">
      <x:c r="A14" s="8" t="str">
        <x:v>Etapa 2</x:v>
      </x:c>
      <x:c r="B14" s="8" t="str">
        <x:v>18–19</x:v>
      </x:c>
      <x:c r="C14" s="8" t="str">
        <x:v>Pruebas integrales</x:v>
      </x:c>
      <x:c r="D14" s="8" t="str">
        <x:v>Ejecutar los cuatro casos y verificar respuestas, registros, notificaciones y resguardo de datos.</x:v>
      </x:c>
      <x:c r="E14" s="8" t="str">
        <x:v>Pruebas</x:v>
      </x:c>
      <x:c r="F14" s="8" t="str">
        <x:v>Equipo ejecutor</x:v>
      </x:c>
    </x:row>
    <x:row r="15" ht="67" customHeight="1">
      <x:c r="A15" s="9" t="str">
        <x:v>Etapa 2</x:v>
      </x:c>
      <x:c r="B15" s="9" t="str">
        <x:v>20</x:v>
      </x:c>
      <x:c r="C15" s="9" t="str">
        <x:v>Demostración y cierre</x:v>
      </x:c>
      <x:c r="D15" s="9" t="str">
        <x:v>Presentar el resultado, revisar las mejoras y entregar el flujo y su documentación.</x:v>
      </x:c>
      <x:c r="E15" s="9" t="str">
        <x:v>Coordinación</x:v>
      </x:c>
      <x:c r="F15" s="9" t="str">
        <x:v>Equipo del proyecto</x:v>
      </x:c>
    </x:row>
    <x:row r="16">
      <x:c r="A16" s="1"/>
      <x:c r="B16" s="1"/>
      <x:c r="C16" s="1"/>
      <x:c r="D16" s="1"/>
      <x:c r="E16" s="1"/>
      <x:c r="F16" s="1"/>
    </x:row>
    <x:row r="17" ht="25" customHeight="1">
      <x:c r="A17" s="10" t="str">
        <x:v>Notas del cronograma</x:v>
      </x:c>
      <x:c r="B17" s="7"/>
      <x:c r="C17" s="7"/>
      <x:c r="D17" s="7"/>
      <x:c r="E17" s="7"/>
      <x:c r="F17" s="7"/>
    </x:row>
    <x:row r="18" ht="31" customHeight="1">
      <x:c r="A18" s="7" t="str">
        <x:v>Coordinación diaria de 10 a 15 minutos durante ambas etapas. Las actividades pueden superponerse cuando sus dependencias lo permiten.</x:v>
      </x:c>
      <x:c r="B18" s="7"/>
      <x:c r="C18" s="7"/>
      <x:c r="D18" s="7"/>
      <x:c r="E18" s="7"/>
      <x:c r="F18" s="7"/>
    </x:row>
    <x:row r="19" ht="31" customHeight="1">
      <x:c r="A19" s="7" t="str">
        <x:v>Las respuestas de Ley Karin deben validarse con las áreas responsables antes del uso real. El aviso inicial de accidentes se dirige a Jefatura Directa.</x:v>
      </x:c>
      <x:c r="B19" s="7"/>
      <x:c r="C19" s="7"/>
      <x:c r="D19" s="7"/>
      <x:c r="E19" s="7"/>
      <x:c r="F19" s="7"/>
    </x:row>
    <x:row r="20" ht="31" customHeight="1">
      <x:c r="A20" s="7" t="str">
        <x:v>El reporte de gestión es opcional y puede postergarse sin afectar el objetivo central.</x:v>
      </x:c>
      <x:c r="B20" s="7"/>
      <x:c r="C20" s="7"/>
      <x:c r="D20" s="7"/>
      <x:c r="E20" s="7"/>
      <x:c r="F20" s="7"/>
    </x:row>
    <x:row r="21" ht="31" customHeight="1">
      <x:c r="A21" s="7" t="str">
        <x:v>Estimación para un desarrollo individual en el contexto de la prueba técnica. Los roles del proyecto describen funciones, no personas adicionales confirmadas.</x:v>
      </x:c>
      <x:c r="B21" s="7"/>
      <x:c r="C21" s="7"/>
      <x:c r="D21" s="7"/>
      <x:c r="E21" s="7"/>
      <x:c r="F21" s="7"/>
    </x:row>
    <x:row r="22" ht="31" customHeight="1">
      <x:c r="A22" s="7" t="str">
        <x:v>Fuente: 03_Cronograma_Sprints.pdf, detalle día a día. Ruta de accidentes ajustada al Taller de Bienestar en el Teletrabajo.</x:v>
      </x:c>
      <x:c r="B22" s="7"/>
      <x:c r="C22" s="7"/>
      <x:c r="D22" s="7"/>
      <x:c r="E22" s="7"/>
      <x:c r="F22" s="7"/>
    </x:row>
  </x:sheetData>
  <x:mergeCells>
    <x:mergeCell ref="A1:F1"/>
    <x:mergeCell ref="A2:F2"/>
    <x:mergeCell ref="A17:F17"/>
    <x:mergeCell ref="A18:F18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130001068115234" hidden="0" customWidth="1"/>
    <x:col min="2" max="2" width="5.130000114440918" hidden="0" customWidth="1"/>
    <x:col min="3" max="3" width="5.130000114440918" hidden="0" customWidth="1"/>
    <x:col min="4" max="4" width="5.130000114440918" hidden="0" customWidth="1"/>
    <x:col min="5" max="5" width="5.130000114440918" hidden="0" customWidth="1"/>
    <x:col min="6" max="6" width="5.130000114440918" hidden="0" customWidth="1"/>
    <x:col min="7" max="7" width="5.130000114440918" hidden="0" customWidth="1"/>
    <x:col min="8" max="8" width="5.130000114440918" hidden="0" customWidth="1"/>
    <x:col min="9" max="9" width="5.130000114440918" hidden="0" customWidth="1"/>
    <x:col min="10" max="10" width="5.130000114440918" hidden="0" customWidth="1"/>
    <x:col min="11" max="11" width="5.130000114440918" hidden="0" customWidth="1"/>
    <x:col min="12" max="12" width="5.130000114440918" hidden="0" customWidth="1"/>
    <x:col min="13" max="13" width="5.130000114440918" hidden="0" customWidth="1"/>
    <x:col min="14" max="14" width="5.130000114440918" hidden="0" customWidth="1"/>
    <x:col min="15" max="15" width="5.130000114440918" hidden="0" customWidth="1"/>
    <x:col min="16" max="16" width="5.130000114440918" hidden="0" customWidth="1"/>
    <x:col min="17" max="17" width="5.130000114440918" hidden="0" customWidth="1"/>
    <x:col min="18" max="18" width="5.130000114440918" hidden="0" customWidth="1"/>
    <x:col min="19" max="19" width="5.130000114440918" hidden="0" customWidth="1"/>
    <x:col min="20" max="20" width="5.130000114440918" hidden="0" customWidth="1"/>
    <x:col min="21" max="21" width="5.130000114440918" hidden="0" customWidth="1"/>
  </x:cols>
  <x:sheetData>
    <x:row r="1" ht="31" customHeight="1">
      <x:c r="A1" s="14" t="str">
        <x:v>ADIPA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</x:row>
    <x:row r="2" ht="31" customHeight="1">
      <x:c r="A2" s="14" t="str">
        <x:v>Cronograma del proyecto — 2 Sprints Scrum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</x:row>
    <x:row r="3" ht="23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</x:row>
    <x:row r="4" ht="23" customHeight="1">
      <x:c r="A4" s="16" t="str">
        <x:v>Dos ciclos de 10 días hábiles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</x:row>
    <x:row r="5" ht="23" customHeight="1">
      <x:c r="A5" s="17" t="str">
        <x:v>Semanas 1–2: Sprint 1   |   Semanas 3–4: Sprint 2   |   Días relativos, de lunes a viernes</x:v>
      </x:c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</x:row>
    <x:row r="6" ht="23" customHeight="1">
      <x:c r="A6" s="12"/>
      <x:c r="B6" s="20" t="str">
        <x:v>Semana 1</x:v>
      </x:c>
      <x:c r="C6" s="20"/>
      <x:c r="D6" s="20"/>
      <x:c r="E6" s="20"/>
      <x:c r="F6" s="20"/>
      <x:c r="G6" s="20" t="str">
        <x:v>Semana 2</x:v>
      </x:c>
      <x:c r="H6" s="20"/>
      <x:c r="I6" s="20"/>
      <x:c r="J6" s="20"/>
      <x:c r="K6" s="20"/>
      <x:c r="L6" s="23" t="str">
        <x:v>Semana 3</x:v>
      </x:c>
      <x:c r="M6" s="23"/>
      <x:c r="N6" s="23"/>
      <x:c r="O6" s="23"/>
      <x:c r="P6" s="23"/>
      <x:c r="Q6" s="23" t="str">
        <x:v>Semana 4</x:v>
      </x:c>
      <x:c r="R6" s="23"/>
      <x:c r="S6" s="23"/>
      <x:c r="T6" s="23"/>
      <x:c r="U6" s="23"/>
    </x:row>
    <x:row r="7" ht="23" customHeight="1">
      <x:c r="A7" s="12"/>
      <x:c r="B7" s="26" t="n">
        <x:v>1</x:v>
      </x:c>
      <x:c r="C7" s="26" t="n">
        <x:v>2</x:v>
      </x:c>
      <x:c r="D7" s="26" t="n">
        <x:v>3</x:v>
      </x:c>
      <x:c r="E7" s="26" t="n">
        <x:v>4</x:v>
      </x:c>
      <x:c r="F7" s="26" t="n">
        <x:v>5</x:v>
      </x:c>
      <x:c r="G7" s="26" t="n">
        <x:v>6</x:v>
      </x:c>
      <x:c r="H7" s="26" t="n">
        <x:v>7</x:v>
      </x:c>
      <x:c r="I7" s="26" t="n">
        <x:v>8</x:v>
      </x:c>
      <x:c r="J7" s="26" t="n">
        <x:v>9</x:v>
      </x:c>
      <x:c r="K7" s="26" t="n">
        <x:v>10</x:v>
      </x:c>
      <x:c r="L7" s="26" t="n">
        <x:v>11</x:v>
      </x:c>
      <x:c r="M7" s="26" t="n">
        <x:v>12</x:v>
      </x:c>
      <x:c r="N7" s="26" t="n">
        <x:v>13</x:v>
      </x:c>
      <x:c r="O7" s="26" t="n">
        <x:v>14</x:v>
      </x:c>
      <x:c r="P7" s="26" t="n">
        <x:v>15</x:v>
      </x:c>
      <x:c r="Q7" s="26" t="n">
        <x:v>16</x:v>
      </x:c>
      <x:c r="R7" s="26" t="n">
        <x:v>17</x:v>
      </x:c>
      <x:c r="S7" s="26" t="n">
        <x:v>18</x:v>
      </x:c>
      <x:c r="T7" s="26" t="n">
        <x:v>19</x:v>
      </x:c>
      <x:c r="U7" s="26" t="n">
        <x:v>20</x:v>
      </x:c>
    </x:row>
    <x:row r="8" ht="27" customHeight="1">
      <x:c r="A8" s="28" t="str">
        <x:v>SPRINT 1 — Canal común, consultas simples y registro</x:v>
      </x:c>
      <x:c r="B8" s="36"/>
      <x:c r="C8" s="37"/>
      <x:c r="D8" s="37"/>
      <x:c r="E8" s="37"/>
      <x:c r="F8" s="37"/>
      <x:c r="G8" s="37"/>
      <x:c r="H8" s="37"/>
      <x:c r="I8" s="37"/>
      <x:c r="J8" s="37"/>
      <x:c r="K8" s="37"/>
      <x:c r="L8" s="45"/>
      <x:c r="M8" s="37"/>
      <x:c r="N8" s="37"/>
      <x:c r="O8" s="37"/>
      <x:c r="P8" s="37"/>
      <x:c r="Q8" s="37"/>
      <x:c r="R8" s="37"/>
      <x:c r="S8" s="37"/>
      <x:c r="T8" s="37"/>
      <x:c r="U8" s="38"/>
    </x:row>
    <x:row r="9" ht="27" customHeight="1">
      <x:c r="A9" s="32" t="str">
        <x:f>A38</x:f>
        <x:v>Planificación S1: objetivo, tareas y diseño</x:v>
      </x:c>
      <x:c r="B9" s="48" t="n">
        <x:f>IF(AND(B$7&gt;=$B38,B$7&lt;=$C38),1,0)</x:f>
        <x:v>1</x:v>
      </x:c>
      <x:c r="C9" s="49" t="n">
        <x:f>IF(AND(C$7&gt;=$B38,C$7&lt;=$C38),1,0)</x:f>
        <x:v>0</x:v>
      </x:c>
      <x:c r="D9" s="49" t="n">
        <x:f>IF(AND(D$7&gt;=$B38,D$7&lt;=$C38),1,0)</x:f>
        <x:v>0</x:v>
      </x:c>
      <x:c r="E9" s="49" t="n">
        <x:f>IF(AND(E$7&gt;=$B38,E$7&lt;=$C38),1,0)</x:f>
        <x:v>0</x:v>
      </x:c>
      <x:c r="F9" s="49" t="n">
        <x:f>IF(AND(F$7&gt;=$B38,F$7&lt;=$C38),1,0)</x:f>
        <x:v>0</x:v>
      </x:c>
      <x:c r="G9" s="49" t="n">
        <x:f>IF(AND(G$7&gt;=$B38,G$7&lt;=$C38),1,0)</x:f>
        <x:v>0</x:v>
      </x:c>
      <x:c r="H9" s="49" t="n">
        <x:f>IF(AND(H$7&gt;=$B38,H$7&lt;=$C38),1,0)</x:f>
        <x:v>0</x:v>
      </x:c>
      <x:c r="I9" s="49" t="n">
        <x:f>IF(AND(I$7&gt;=$B38,I$7&lt;=$C38),1,0)</x:f>
        <x:v>0</x:v>
      </x:c>
      <x:c r="J9" s="49" t="n">
        <x:f>IF(AND(J$7&gt;=$B38,J$7&lt;=$C38),1,0)</x:f>
        <x:v>0</x:v>
      </x:c>
      <x:c r="K9" s="49" t="n">
        <x:f>IF(AND(K$7&gt;=$B38,K$7&lt;=$C38),1,0)</x:f>
        <x:v>0</x:v>
      </x:c>
      <x:c r="L9" s="50" t="n">
        <x:f>IF(AND(L$7&gt;=$B38,L$7&lt;=$C38),1,0)</x:f>
        <x:v>0</x:v>
      </x:c>
      <x:c r="M9" s="49" t="n">
        <x:f>IF(AND(M$7&gt;=$B38,M$7&lt;=$C38),1,0)</x:f>
        <x:v>0</x:v>
      </x:c>
      <x:c r="N9" s="49" t="n">
        <x:f>IF(AND(N$7&gt;=$B38,N$7&lt;=$C38),1,0)</x:f>
        <x:v>0</x:v>
      </x:c>
      <x:c r="O9" s="49" t="n">
        <x:f>IF(AND(O$7&gt;=$B38,O$7&lt;=$C38),1,0)</x:f>
        <x:v>0</x:v>
      </x:c>
      <x:c r="P9" s="49" t="n">
        <x:f>IF(AND(P$7&gt;=$B38,P$7&lt;=$C38),1,0)</x:f>
        <x:v>0</x:v>
      </x:c>
      <x:c r="Q9" s="49" t="n">
        <x:f>IF(AND(Q$7&gt;=$B38,Q$7&lt;=$C38),1,0)</x:f>
        <x:v>0</x:v>
      </x:c>
      <x:c r="R9" s="49" t="n">
        <x:f>IF(AND(R$7&gt;=$B38,R$7&lt;=$C38),1,0)</x:f>
        <x:v>0</x:v>
      </x:c>
      <x:c r="S9" s="49" t="n">
        <x:f>IF(AND(S$7&gt;=$B38,S$7&lt;=$C38),1,0)</x:f>
        <x:v>0</x:v>
      </x:c>
      <x:c r="T9" s="49" t="n">
        <x:f>IF(AND(T$7&gt;=$B38,T$7&lt;=$C38),1,0)</x:f>
        <x:v>0</x:v>
      </x:c>
      <x:c r="U9" s="51" t="n">
        <x:f>IF(AND(U$7&gt;=$B38,U$7&lt;=$C38),1,0)</x:f>
        <x:v>0</x:v>
      </x:c>
    </x:row>
    <x:row r="10" ht="27" customHeight="1">
      <x:c r="A10" s="31" t="str">
        <x:f>A39</x:f>
        <x:v>Configurar canal común y recepción en n8n</x:v>
      </x:c>
      <x:c r="B10" s="52" t="n">
        <x:f>IF(AND(B$7&gt;=$B39,B$7&lt;=$C39),1,0)</x:f>
        <x:v>0</x:v>
      </x:c>
      <x:c r="C10" s="53" t="n">
        <x:f>IF(AND(C$7&gt;=$B39,C$7&lt;=$C39),1,0)</x:f>
        <x:v>1</x:v>
      </x:c>
      <x:c r="D10" s="53" t="n">
        <x:f>IF(AND(D$7&gt;=$B39,D$7&lt;=$C39),1,0)</x:f>
        <x:v>1</x:v>
      </x:c>
      <x:c r="E10" s="53" t="n">
        <x:f>IF(AND(E$7&gt;=$B39,E$7&lt;=$C39),1,0)</x:f>
        <x:v>0</x:v>
      </x:c>
      <x:c r="F10" s="53" t="n">
        <x:f>IF(AND(F$7&gt;=$B39,F$7&lt;=$C39),1,0)</x:f>
        <x:v>0</x:v>
      </x:c>
      <x:c r="G10" s="53" t="n">
        <x:f>IF(AND(G$7&gt;=$B39,G$7&lt;=$C39),1,0)</x:f>
        <x:v>0</x:v>
      </x:c>
      <x:c r="H10" s="53" t="n">
        <x:f>IF(AND(H$7&gt;=$B39,H$7&lt;=$C39),1,0)</x:f>
        <x:v>0</x:v>
      </x:c>
      <x:c r="I10" s="53" t="n">
        <x:f>IF(AND(I$7&gt;=$B39,I$7&lt;=$C39),1,0)</x:f>
        <x:v>0</x:v>
      </x:c>
      <x:c r="J10" s="53" t="n">
        <x:f>IF(AND(J$7&gt;=$B39,J$7&lt;=$C39),1,0)</x:f>
        <x:v>0</x:v>
      </x:c>
      <x:c r="K10" s="53" t="n">
        <x:f>IF(AND(K$7&gt;=$B39,K$7&lt;=$C39),1,0)</x:f>
        <x:v>0</x:v>
      </x:c>
      <x:c r="L10" s="54" t="n">
        <x:f>IF(AND(L$7&gt;=$B39,L$7&lt;=$C39),1,0)</x:f>
        <x:v>0</x:v>
      </x:c>
      <x:c r="M10" s="53" t="n">
        <x:f>IF(AND(M$7&gt;=$B39,M$7&lt;=$C39),1,0)</x:f>
        <x:v>0</x:v>
      </x:c>
      <x:c r="N10" s="53" t="n">
        <x:f>IF(AND(N$7&gt;=$B39,N$7&lt;=$C39),1,0)</x:f>
        <x:v>0</x:v>
      </x:c>
      <x:c r="O10" s="53" t="n">
        <x:f>IF(AND(O$7&gt;=$B39,O$7&lt;=$C39),1,0)</x:f>
        <x:v>0</x:v>
      </x:c>
      <x:c r="P10" s="53" t="n">
        <x:f>IF(AND(P$7&gt;=$B39,P$7&lt;=$C39),1,0)</x:f>
        <x:v>0</x:v>
      </x:c>
      <x:c r="Q10" s="53" t="n">
        <x:f>IF(AND(Q$7&gt;=$B39,Q$7&lt;=$C39),1,0)</x:f>
        <x:v>0</x:v>
      </x:c>
      <x:c r="R10" s="53" t="n">
        <x:f>IF(AND(R$7&gt;=$B39,R$7&lt;=$C39),1,0)</x:f>
        <x:v>0</x:v>
      </x:c>
      <x:c r="S10" s="53" t="n">
        <x:f>IF(AND(S$7&gt;=$B39,S$7&lt;=$C39),1,0)</x:f>
        <x:v>0</x:v>
      </x:c>
      <x:c r="T10" s="53" t="n">
        <x:f>IF(AND(T$7&gt;=$B39,T$7&lt;=$C39),1,0)</x:f>
        <x:v>0</x:v>
      </x:c>
      <x:c r="U10" s="55" t="n">
        <x:f>IF(AND(U$7&gt;=$B39,U$7&lt;=$C39),1,0)</x:f>
        <x:v>0</x:v>
      </x:c>
    </x:row>
    <x:row r="11" ht="27" customHeight="1">
      <x:c r="A11" s="32" t="str">
        <x:f>A40</x:f>
        <x:v>Reglas de clasificación: vacaciones y accesos</x:v>
      </x:c>
      <x:c r="B11" s="48" t="n">
        <x:f>IF(AND(B$7&gt;=$B40,B$7&lt;=$C40),1,0)</x:f>
        <x:v>0</x:v>
      </x:c>
      <x:c r="C11" s="49" t="n">
        <x:f>IF(AND(C$7&gt;=$B40,C$7&lt;=$C40),1,0)</x:f>
        <x:v>1</x:v>
      </x:c>
      <x:c r="D11" s="49" t="n">
        <x:f>IF(AND(D$7&gt;=$B40,D$7&lt;=$C40),1,0)</x:f>
        <x:v>1</x:v>
      </x:c>
      <x:c r="E11" s="49" t="n">
        <x:f>IF(AND(E$7&gt;=$B40,E$7&lt;=$C40),1,0)</x:f>
        <x:v>1</x:v>
      </x:c>
      <x:c r="F11" s="49" t="n">
        <x:f>IF(AND(F$7&gt;=$B40,F$7&lt;=$C40),1,0)</x:f>
        <x:v>0</x:v>
      </x:c>
      <x:c r="G11" s="49" t="n">
        <x:f>IF(AND(G$7&gt;=$B40,G$7&lt;=$C40),1,0)</x:f>
        <x:v>0</x:v>
      </x:c>
      <x:c r="H11" s="49" t="n">
        <x:f>IF(AND(H$7&gt;=$B40,H$7&lt;=$C40),1,0)</x:f>
        <x:v>0</x:v>
      </x:c>
      <x:c r="I11" s="49" t="n">
        <x:f>IF(AND(I$7&gt;=$B40,I$7&lt;=$C40),1,0)</x:f>
        <x:v>0</x:v>
      </x:c>
      <x:c r="J11" s="49" t="n">
        <x:f>IF(AND(J$7&gt;=$B40,J$7&lt;=$C40),1,0)</x:f>
        <x:v>0</x:v>
      </x:c>
      <x:c r="K11" s="49" t="n">
        <x:f>IF(AND(K$7&gt;=$B40,K$7&lt;=$C40),1,0)</x:f>
        <x:v>0</x:v>
      </x:c>
      <x:c r="L11" s="50" t="n">
        <x:f>IF(AND(L$7&gt;=$B40,L$7&lt;=$C40),1,0)</x:f>
        <x:v>0</x:v>
      </x:c>
      <x:c r="M11" s="49" t="n">
        <x:f>IF(AND(M$7&gt;=$B40,M$7&lt;=$C40),1,0)</x:f>
        <x:v>0</x:v>
      </x:c>
      <x:c r="N11" s="49" t="n">
        <x:f>IF(AND(N$7&gt;=$B40,N$7&lt;=$C40),1,0)</x:f>
        <x:v>0</x:v>
      </x:c>
      <x:c r="O11" s="49" t="n">
        <x:f>IF(AND(O$7&gt;=$B40,O$7&lt;=$C40),1,0)</x:f>
        <x:v>0</x:v>
      </x:c>
      <x:c r="P11" s="49" t="n">
        <x:f>IF(AND(P$7&gt;=$B40,P$7&lt;=$C40),1,0)</x:f>
        <x:v>0</x:v>
      </x:c>
      <x:c r="Q11" s="49" t="n">
        <x:f>IF(AND(Q$7&gt;=$B40,Q$7&lt;=$C40),1,0)</x:f>
        <x:v>0</x:v>
      </x:c>
      <x:c r="R11" s="49" t="n">
        <x:f>IF(AND(R$7&gt;=$B40,R$7&lt;=$C40),1,0)</x:f>
        <x:v>0</x:v>
      </x:c>
      <x:c r="S11" s="49" t="n">
        <x:f>IF(AND(S$7&gt;=$B40,S$7&lt;=$C40),1,0)</x:f>
        <x:v>0</x:v>
      </x:c>
      <x:c r="T11" s="49" t="n">
        <x:f>IF(AND(T$7&gt;=$B40,T$7&lt;=$C40),1,0)</x:f>
        <x:v>0</x:v>
      </x:c>
      <x:c r="U11" s="51" t="n">
        <x:f>IF(AND(U$7&gt;=$B40,U$7&lt;=$C40),1,0)</x:f>
        <x:v>0</x:v>
      </x:c>
    </x:row>
    <x:row r="12" ht="27" customHeight="1">
      <x:c r="A12" s="31" t="str">
        <x:f>A41</x:f>
        <x:v>Respuestas documentadas: vacaciones y accesos</x:v>
      </x:c>
      <x:c r="B12" s="52" t="n">
        <x:f>IF(AND(B$7&gt;=$B41,B$7&lt;=$C41),1,0)</x:f>
        <x:v>0</x:v>
      </x:c>
      <x:c r="C12" s="53" t="n">
        <x:f>IF(AND(C$7&gt;=$B41,C$7&lt;=$C41),1,0)</x:f>
        <x:v>0</x:v>
      </x:c>
      <x:c r="D12" s="53" t="n">
        <x:f>IF(AND(D$7&gt;=$B41,D$7&lt;=$C41),1,0)</x:f>
        <x:v>0</x:v>
      </x:c>
      <x:c r="E12" s="53" t="n">
        <x:f>IF(AND(E$7&gt;=$B41,E$7&lt;=$C41),1,0)</x:f>
        <x:v>1</x:v>
      </x:c>
      <x:c r="F12" s="53" t="n">
        <x:f>IF(AND(F$7&gt;=$B41,F$7&lt;=$C41),1,0)</x:f>
        <x:v>1</x:v>
      </x:c>
      <x:c r="G12" s="53" t="n">
        <x:f>IF(AND(G$7&gt;=$B41,G$7&lt;=$C41),1,0)</x:f>
        <x:v>1</x:v>
      </x:c>
      <x:c r="H12" s="53" t="n">
        <x:f>IF(AND(H$7&gt;=$B41,H$7&lt;=$C41),1,0)</x:f>
        <x:v>0</x:v>
      </x:c>
      <x:c r="I12" s="53" t="n">
        <x:f>IF(AND(I$7&gt;=$B41,I$7&lt;=$C41),1,0)</x:f>
        <x:v>0</x:v>
      </x:c>
      <x:c r="J12" s="53" t="n">
        <x:f>IF(AND(J$7&gt;=$B41,J$7&lt;=$C41),1,0)</x:f>
        <x:v>0</x:v>
      </x:c>
      <x:c r="K12" s="53" t="n">
        <x:f>IF(AND(K$7&gt;=$B41,K$7&lt;=$C41),1,0)</x:f>
        <x:v>0</x:v>
      </x:c>
      <x:c r="L12" s="54" t="n">
        <x:f>IF(AND(L$7&gt;=$B41,L$7&lt;=$C41),1,0)</x:f>
        <x:v>0</x:v>
      </x:c>
      <x:c r="M12" s="53" t="n">
        <x:f>IF(AND(M$7&gt;=$B41,M$7&lt;=$C41),1,0)</x:f>
        <x:v>0</x:v>
      </x:c>
      <x:c r="N12" s="53" t="n">
        <x:f>IF(AND(N$7&gt;=$B41,N$7&lt;=$C41),1,0)</x:f>
        <x:v>0</x:v>
      </x:c>
      <x:c r="O12" s="53" t="n">
        <x:f>IF(AND(O$7&gt;=$B41,O$7&lt;=$C41),1,0)</x:f>
        <x:v>0</x:v>
      </x:c>
      <x:c r="P12" s="53" t="n">
        <x:f>IF(AND(P$7&gt;=$B41,P$7&lt;=$C41),1,0)</x:f>
        <x:v>0</x:v>
      </x:c>
      <x:c r="Q12" s="53" t="n">
        <x:f>IF(AND(Q$7&gt;=$B41,Q$7&lt;=$C41),1,0)</x:f>
        <x:v>0</x:v>
      </x:c>
      <x:c r="R12" s="53" t="n">
        <x:f>IF(AND(R$7&gt;=$B41,R$7&lt;=$C41),1,0)</x:f>
        <x:v>0</x:v>
      </x:c>
      <x:c r="S12" s="53" t="n">
        <x:f>IF(AND(S$7&gt;=$B41,S$7&lt;=$C41),1,0)</x:f>
        <x:v>0</x:v>
      </x:c>
      <x:c r="T12" s="53" t="n">
        <x:f>IF(AND(T$7&gt;=$B41,T$7&lt;=$C41),1,0)</x:f>
        <x:v>0</x:v>
      </x:c>
      <x:c r="U12" s="55" t="n">
        <x:f>IF(AND(U$7&gt;=$B41,U$7&lt;=$C41),1,0)</x:f>
        <x:v>0</x:v>
      </x:c>
    </x:row>
    <x:row r="13" ht="27" customHeight="1">
      <x:c r="A13" s="32" t="str">
        <x:f>A42</x:f>
        <x:v>Registro central para todas las rutas</x:v>
      </x:c>
      <x:c r="B13" s="48" t="n">
        <x:f>IF(AND(B$7&gt;=$B42,B$7&lt;=$C42),1,0)</x:f>
        <x:v>0</x:v>
      </x:c>
      <x:c r="C13" s="49" t="n">
        <x:f>IF(AND(C$7&gt;=$B42,C$7&lt;=$C42),1,0)</x:f>
        <x:v>0</x:v>
      </x:c>
      <x:c r="D13" s="49" t="n">
        <x:f>IF(AND(D$7&gt;=$B42,D$7&lt;=$C42),1,0)</x:f>
        <x:v>0</x:v>
      </x:c>
      <x:c r="E13" s="49" t="n">
        <x:f>IF(AND(E$7&gt;=$B42,E$7&lt;=$C42),1,0)</x:f>
        <x:v>0</x:v>
      </x:c>
      <x:c r="F13" s="49" t="n">
        <x:f>IF(AND(F$7&gt;=$B42,F$7&lt;=$C42),1,0)</x:f>
        <x:v>1</x:v>
      </x:c>
      <x:c r="G13" s="49" t="n">
        <x:f>IF(AND(G$7&gt;=$B42,G$7&lt;=$C42),1,0)</x:f>
        <x:v>1</x:v>
      </x:c>
      <x:c r="H13" s="49" t="n">
        <x:f>IF(AND(H$7&gt;=$B42,H$7&lt;=$C42),1,0)</x:f>
        <x:v>1</x:v>
      </x:c>
      <x:c r="I13" s="49" t="n">
        <x:f>IF(AND(I$7&gt;=$B42,I$7&lt;=$C42),1,0)</x:f>
        <x:v>0</x:v>
      </x:c>
      <x:c r="J13" s="49" t="n">
        <x:f>IF(AND(J$7&gt;=$B42,J$7&lt;=$C42),1,0)</x:f>
        <x:v>0</x:v>
      </x:c>
      <x:c r="K13" s="49" t="n">
        <x:f>IF(AND(K$7&gt;=$B42,K$7&lt;=$C42),1,0)</x:f>
        <x:v>0</x:v>
      </x:c>
      <x:c r="L13" s="50" t="n">
        <x:f>IF(AND(L$7&gt;=$B42,L$7&lt;=$C42),1,0)</x:f>
        <x:v>0</x:v>
      </x:c>
      <x:c r="M13" s="49" t="n">
        <x:f>IF(AND(M$7&gt;=$B42,M$7&lt;=$C42),1,0)</x:f>
        <x:v>0</x:v>
      </x:c>
      <x:c r="N13" s="49" t="n">
        <x:f>IF(AND(N$7&gt;=$B42,N$7&lt;=$C42),1,0)</x:f>
        <x:v>0</x:v>
      </x:c>
      <x:c r="O13" s="49" t="n">
        <x:f>IF(AND(O$7&gt;=$B42,O$7&lt;=$C42),1,0)</x:f>
        <x:v>0</x:v>
      </x:c>
      <x:c r="P13" s="49" t="n">
        <x:f>IF(AND(P$7&gt;=$B42,P$7&lt;=$C42),1,0)</x:f>
        <x:v>0</x:v>
      </x:c>
      <x:c r="Q13" s="49" t="n">
        <x:f>IF(AND(Q$7&gt;=$B42,Q$7&lt;=$C42),1,0)</x:f>
        <x:v>0</x:v>
      </x:c>
      <x:c r="R13" s="49" t="n">
        <x:f>IF(AND(R$7&gt;=$B42,R$7&lt;=$C42),1,0)</x:f>
        <x:v>0</x:v>
      </x:c>
      <x:c r="S13" s="49" t="n">
        <x:f>IF(AND(S$7&gt;=$B42,S$7&lt;=$C42),1,0)</x:f>
        <x:v>0</x:v>
      </x:c>
      <x:c r="T13" s="49" t="n">
        <x:f>IF(AND(T$7&gt;=$B42,T$7&lt;=$C42),1,0)</x:f>
        <x:v>0</x:v>
      </x:c>
      <x:c r="U13" s="51" t="n">
        <x:f>IF(AND(U$7&gt;=$B42,U$7&lt;=$C42),1,0)</x:f>
        <x:v>0</x:v>
      </x:c>
    </x:row>
    <x:row r="14" ht="27" customHeight="1">
      <x:c r="A14" s="31" t="str">
        <x:f>A43</x:f>
        <x:v>Coordinación diaria (10–15 min)</x:v>
      </x:c>
      <x:c r="B14" s="52" t="n">
        <x:f>IF(AND(B$7&gt;=$B43,B$7&lt;=$C43),1,0)</x:f>
        <x:v>1</x:v>
      </x:c>
      <x:c r="C14" s="53" t="n">
        <x:f>IF(AND(C$7&gt;=$B43,C$7&lt;=$C43),1,0)</x:f>
        <x:v>1</x:v>
      </x:c>
      <x:c r="D14" s="53" t="n">
        <x:f>IF(AND(D$7&gt;=$B43,D$7&lt;=$C43),1,0)</x:f>
        <x:v>1</x:v>
      </x:c>
      <x:c r="E14" s="53" t="n">
        <x:f>IF(AND(E$7&gt;=$B43,E$7&lt;=$C43),1,0)</x:f>
        <x:v>1</x:v>
      </x:c>
      <x:c r="F14" s="53" t="n">
        <x:f>IF(AND(F$7&gt;=$B43,F$7&lt;=$C43),1,0)</x:f>
        <x:v>1</x:v>
      </x:c>
      <x:c r="G14" s="53" t="n">
        <x:f>IF(AND(G$7&gt;=$B43,G$7&lt;=$C43),1,0)</x:f>
        <x:v>1</x:v>
      </x:c>
      <x:c r="H14" s="53" t="n">
        <x:f>IF(AND(H$7&gt;=$B43,H$7&lt;=$C43),1,0)</x:f>
        <x:v>1</x:v>
      </x:c>
      <x:c r="I14" s="53" t="n">
        <x:f>IF(AND(I$7&gt;=$B43,I$7&lt;=$C43),1,0)</x:f>
        <x:v>1</x:v>
      </x:c>
      <x:c r="J14" s="53" t="n">
        <x:f>IF(AND(J$7&gt;=$B43,J$7&lt;=$C43),1,0)</x:f>
        <x:v>1</x:v>
      </x:c>
      <x:c r="K14" s="53" t="n">
        <x:f>IF(AND(K$7&gt;=$B43,K$7&lt;=$C43),1,0)</x:f>
        <x:v>0</x:v>
      </x:c>
      <x:c r="L14" s="54" t="n">
        <x:f>IF(AND(L$7&gt;=$B43,L$7&lt;=$C43),1,0)</x:f>
        <x:v>0</x:v>
      </x:c>
      <x:c r="M14" s="53" t="n">
        <x:f>IF(AND(M$7&gt;=$B43,M$7&lt;=$C43),1,0)</x:f>
        <x:v>0</x:v>
      </x:c>
      <x:c r="N14" s="53" t="n">
        <x:f>IF(AND(N$7&gt;=$B43,N$7&lt;=$C43),1,0)</x:f>
        <x:v>0</x:v>
      </x:c>
      <x:c r="O14" s="53" t="n">
        <x:f>IF(AND(O$7&gt;=$B43,O$7&lt;=$C43),1,0)</x:f>
        <x:v>0</x:v>
      </x:c>
      <x:c r="P14" s="53" t="n">
        <x:f>IF(AND(P$7&gt;=$B43,P$7&lt;=$C43),1,0)</x:f>
        <x:v>0</x:v>
      </x:c>
      <x:c r="Q14" s="53" t="n">
        <x:f>IF(AND(Q$7&gt;=$B43,Q$7&lt;=$C43),1,0)</x:f>
        <x:v>0</x:v>
      </x:c>
      <x:c r="R14" s="53" t="n">
        <x:f>IF(AND(R$7&gt;=$B43,R$7&lt;=$C43),1,0)</x:f>
        <x:v>0</x:v>
      </x:c>
      <x:c r="S14" s="53" t="n">
        <x:f>IF(AND(S$7&gt;=$B43,S$7&lt;=$C43),1,0)</x:f>
        <x:v>0</x:v>
      </x:c>
      <x:c r="T14" s="53" t="n">
        <x:f>IF(AND(T$7&gt;=$B43,T$7&lt;=$C43),1,0)</x:f>
        <x:v>0</x:v>
      </x:c>
      <x:c r="U14" s="55" t="n">
        <x:f>IF(AND(U$7&gt;=$B43,U$7&lt;=$C43),1,0)</x:f>
        <x:v>0</x:v>
      </x:c>
    </x:row>
    <x:row r="15" ht="27" customHeight="1">
      <x:c r="A15" s="32" t="str">
        <x:f>A44</x:f>
        <x:v>Pruebas de vacaciones y accesos</x:v>
      </x:c>
      <x:c r="B15" s="48" t="n">
        <x:f>IF(AND(B$7&gt;=$B44,B$7&lt;=$C44),1,0)</x:f>
        <x:v>0</x:v>
      </x:c>
      <x:c r="C15" s="49" t="n">
        <x:f>IF(AND(C$7&gt;=$B44,C$7&lt;=$C44),1,0)</x:f>
        <x:v>0</x:v>
      </x:c>
      <x:c r="D15" s="49" t="n">
        <x:f>IF(AND(D$7&gt;=$B44,D$7&lt;=$C44),1,0)</x:f>
        <x:v>0</x:v>
      </x:c>
      <x:c r="E15" s="49" t="n">
        <x:f>IF(AND(E$7&gt;=$B44,E$7&lt;=$C44),1,0)</x:f>
        <x:v>0</x:v>
      </x:c>
      <x:c r="F15" s="49" t="n">
        <x:f>IF(AND(F$7&gt;=$B44,F$7&lt;=$C44),1,0)</x:f>
        <x:v>0</x:v>
      </x:c>
      <x:c r="G15" s="49" t="n">
        <x:f>IF(AND(G$7&gt;=$B44,G$7&lt;=$C44),1,0)</x:f>
        <x:v>0</x:v>
      </x:c>
      <x:c r="H15" s="49" t="n">
        <x:f>IF(AND(H$7&gt;=$B44,H$7&lt;=$C44),1,0)</x:f>
        <x:v>0</x:v>
      </x:c>
      <x:c r="I15" s="49" t="n">
        <x:f>IF(AND(I$7&gt;=$B44,I$7&lt;=$C44),1,0)</x:f>
        <x:v>1</x:v>
      </x:c>
      <x:c r="J15" s="49" t="n">
        <x:f>IF(AND(J$7&gt;=$B44,J$7&lt;=$C44),1,0)</x:f>
        <x:v>1</x:v>
      </x:c>
      <x:c r="K15" s="49" t="n">
        <x:f>IF(AND(K$7&gt;=$B44,K$7&lt;=$C44),1,0)</x:f>
        <x:v>0</x:v>
      </x:c>
      <x:c r="L15" s="50" t="n">
        <x:f>IF(AND(L$7&gt;=$B44,L$7&lt;=$C44),1,0)</x:f>
        <x:v>0</x:v>
      </x:c>
      <x:c r="M15" s="49" t="n">
        <x:f>IF(AND(M$7&gt;=$B44,M$7&lt;=$C44),1,0)</x:f>
        <x:v>0</x:v>
      </x:c>
      <x:c r="N15" s="49" t="n">
        <x:f>IF(AND(N$7&gt;=$B44,N$7&lt;=$C44),1,0)</x:f>
        <x:v>0</x:v>
      </x:c>
      <x:c r="O15" s="49" t="n">
        <x:f>IF(AND(O$7&gt;=$B44,O$7&lt;=$C44),1,0)</x:f>
        <x:v>0</x:v>
      </x:c>
      <x:c r="P15" s="49" t="n">
        <x:f>IF(AND(P$7&gt;=$B44,P$7&lt;=$C44),1,0)</x:f>
        <x:v>0</x:v>
      </x:c>
      <x:c r="Q15" s="49" t="n">
        <x:f>IF(AND(Q$7&gt;=$B44,Q$7&lt;=$C44),1,0)</x:f>
        <x:v>0</x:v>
      </x:c>
      <x:c r="R15" s="49" t="n">
        <x:f>IF(AND(R$7&gt;=$B44,R$7&lt;=$C44),1,0)</x:f>
        <x:v>0</x:v>
      </x:c>
      <x:c r="S15" s="49" t="n">
        <x:f>IF(AND(S$7&gt;=$B44,S$7&lt;=$C44),1,0)</x:f>
        <x:v>0</x:v>
      </x:c>
      <x:c r="T15" s="49" t="n">
        <x:f>IF(AND(T$7&gt;=$B44,T$7&lt;=$C44),1,0)</x:f>
        <x:v>0</x:v>
      </x:c>
      <x:c r="U15" s="51" t="n">
        <x:f>IF(AND(U$7&gt;=$B44,U$7&lt;=$C44),1,0)</x:f>
        <x:v>0</x:v>
      </x:c>
    </x:row>
    <x:row r="16" ht="27" customHeight="1">
      <x:c r="A16" s="31" t="str">
        <x:f>A45</x:f>
        <x:v>Revisión S1: demostración de avances</x:v>
      </x:c>
      <x:c r="B16" s="52" t="n">
        <x:f>IF(AND(B$7&gt;=$B45,B$7&lt;=$C45),1,0)</x:f>
        <x:v>0</x:v>
      </x:c>
      <x:c r="C16" s="53" t="n">
        <x:f>IF(AND(C$7&gt;=$B45,C$7&lt;=$C45),1,0)</x:f>
        <x:v>0</x:v>
      </x:c>
      <x:c r="D16" s="53" t="n">
        <x:f>IF(AND(D$7&gt;=$B45,D$7&lt;=$C45),1,0)</x:f>
        <x:v>0</x:v>
      </x:c>
      <x:c r="E16" s="53" t="n">
        <x:f>IF(AND(E$7&gt;=$B45,E$7&lt;=$C45),1,0)</x:f>
        <x:v>0</x:v>
      </x:c>
      <x:c r="F16" s="53" t="n">
        <x:f>IF(AND(F$7&gt;=$B45,F$7&lt;=$C45),1,0)</x:f>
        <x:v>0</x:v>
      </x:c>
      <x:c r="G16" s="53" t="n">
        <x:f>IF(AND(G$7&gt;=$B45,G$7&lt;=$C45),1,0)</x:f>
        <x:v>0</x:v>
      </x:c>
      <x:c r="H16" s="53" t="n">
        <x:f>IF(AND(H$7&gt;=$B45,H$7&lt;=$C45),1,0)</x:f>
        <x:v>0</x:v>
      </x:c>
      <x:c r="I16" s="53" t="n">
        <x:f>IF(AND(I$7&gt;=$B45,I$7&lt;=$C45),1,0)</x:f>
        <x:v>0</x:v>
      </x:c>
      <x:c r="J16" s="53" t="n">
        <x:f>IF(AND(J$7&gt;=$B45,J$7&lt;=$C45),1,0)</x:f>
        <x:v>0</x:v>
      </x:c>
      <x:c r="K16" s="53" t="n">
        <x:f>IF(AND(K$7&gt;=$B45,K$7&lt;=$C45),1,0)</x:f>
        <x:v>1</x:v>
      </x:c>
      <x:c r="L16" s="54" t="n">
        <x:f>IF(AND(L$7&gt;=$B45,L$7&lt;=$C45),1,0)</x:f>
        <x:v>0</x:v>
      </x:c>
      <x:c r="M16" s="53" t="n">
        <x:f>IF(AND(M$7&gt;=$B45,M$7&lt;=$C45),1,0)</x:f>
        <x:v>0</x:v>
      </x:c>
      <x:c r="N16" s="53" t="n">
        <x:f>IF(AND(N$7&gt;=$B45,N$7&lt;=$C45),1,0)</x:f>
        <x:v>0</x:v>
      </x:c>
      <x:c r="O16" s="53" t="n">
        <x:f>IF(AND(O$7&gt;=$B45,O$7&lt;=$C45),1,0)</x:f>
        <x:v>0</x:v>
      </x:c>
      <x:c r="P16" s="53" t="n">
        <x:f>IF(AND(P$7&gt;=$B45,P$7&lt;=$C45),1,0)</x:f>
        <x:v>0</x:v>
      </x:c>
      <x:c r="Q16" s="53" t="n">
        <x:f>IF(AND(Q$7&gt;=$B45,Q$7&lt;=$C45),1,0)</x:f>
        <x:v>0</x:v>
      </x:c>
      <x:c r="R16" s="53" t="n">
        <x:f>IF(AND(R$7&gt;=$B45,R$7&lt;=$C45),1,0)</x:f>
        <x:v>0</x:v>
      </x:c>
      <x:c r="S16" s="53" t="n">
        <x:f>IF(AND(S$7&gt;=$B45,S$7&lt;=$C45),1,0)</x:f>
        <x:v>0</x:v>
      </x:c>
      <x:c r="T16" s="53" t="n">
        <x:f>IF(AND(T$7&gt;=$B45,T$7&lt;=$C45),1,0)</x:f>
        <x:v>0</x:v>
      </x:c>
      <x:c r="U16" s="55" t="n">
        <x:f>IF(AND(U$7&gt;=$B45,U$7&lt;=$C45),1,0)</x:f>
        <x:v>0</x:v>
      </x:c>
    </x:row>
    <x:row r="17" ht="27" customHeight="1">
      <x:c r="A17" s="32" t="str">
        <x:f>A46</x:f>
        <x:v>Retrospectiva S1: acuerdos de mejora</x:v>
      </x:c>
      <x:c r="B17" s="48" t="n">
        <x:f>IF(AND(B$7&gt;=$B46,B$7&lt;=$C46),1,0)</x:f>
        <x:v>0</x:v>
      </x:c>
      <x:c r="C17" s="49" t="n">
        <x:f>IF(AND(C$7&gt;=$B46,C$7&lt;=$C46),1,0)</x:f>
        <x:v>0</x:v>
      </x:c>
      <x:c r="D17" s="49" t="n">
        <x:f>IF(AND(D$7&gt;=$B46,D$7&lt;=$C46),1,0)</x:f>
        <x:v>0</x:v>
      </x:c>
      <x:c r="E17" s="49" t="n">
        <x:f>IF(AND(E$7&gt;=$B46,E$7&lt;=$C46),1,0)</x:f>
        <x:v>0</x:v>
      </x:c>
      <x:c r="F17" s="49" t="n">
        <x:f>IF(AND(F$7&gt;=$B46,F$7&lt;=$C46),1,0)</x:f>
        <x:v>0</x:v>
      </x:c>
      <x:c r="G17" s="49" t="n">
        <x:f>IF(AND(G$7&gt;=$B46,G$7&lt;=$C46),1,0)</x:f>
        <x:v>0</x:v>
      </x:c>
      <x:c r="H17" s="49" t="n">
        <x:f>IF(AND(H$7&gt;=$B46,H$7&lt;=$C46),1,0)</x:f>
        <x:v>0</x:v>
      </x:c>
      <x:c r="I17" s="49" t="n">
        <x:f>IF(AND(I$7&gt;=$B46,I$7&lt;=$C46),1,0)</x:f>
        <x:v>0</x:v>
      </x:c>
      <x:c r="J17" s="49" t="n">
        <x:f>IF(AND(J$7&gt;=$B46,J$7&lt;=$C46),1,0)</x:f>
        <x:v>0</x:v>
      </x:c>
      <x:c r="K17" s="49" t="n">
        <x:f>IF(AND(K$7&gt;=$B46,K$7&lt;=$C46),1,0)</x:f>
        <x:v>1</x:v>
      </x:c>
      <x:c r="L17" s="50" t="n">
        <x:f>IF(AND(L$7&gt;=$B46,L$7&lt;=$C46),1,0)</x:f>
        <x:v>0</x:v>
      </x:c>
      <x:c r="M17" s="49" t="n">
        <x:f>IF(AND(M$7&gt;=$B46,M$7&lt;=$C46),1,0)</x:f>
        <x:v>0</x:v>
      </x:c>
      <x:c r="N17" s="49" t="n">
        <x:f>IF(AND(N$7&gt;=$B46,N$7&lt;=$C46),1,0)</x:f>
        <x:v>0</x:v>
      </x:c>
      <x:c r="O17" s="49" t="n">
        <x:f>IF(AND(O$7&gt;=$B46,O$7&lt;=$C46),1,0)</x:f>
        <x:v>0</x:v>
      </x:c>
      <x:c r="P17" s="49" t="n">
        <x:f>IF(AND(P$7&gt;=$B46,P$7&lt;=$C46),1,0)</x:f>
        <x:v>0</x:v>
      </x:c>
      <x:c r="Q17" s="49" t="n">
        <x:f>IF(AND(Q$7&gt;=$B46,Q$7&lt;=$C46),1,0)</x:f>
        <x:v>0</x:v>
      </x:c>
      <x:c r="R17" s="49" t="n">
        <x:f>IF(AND(R$7&gt;=$B46,R$7&lt;=$C46),1,0)</x:f>
        <x:v>0</x:v>
      </x:c>
      <x:c r="S17" s="49" t="n">
        <x:f>IF(AND(S$7&gt;=$B46,S$7&lt;=$C46),1,0)</x:f>
        <x:v>0</x:v>
      </x:c>
      <x:c r="T17" s="49" t="n">
        <x:f>IF(AND(T$7&gt;=$B46,T$7&lt;=$C46),1,0)</x:f>
        <x:v>0</x:v>
      </x:c>
      <x:c r="U17" s="51" t="n">
        <x:f>IF(AND(U$7&gt;=$B46,U$7&lt;=$C46),1,0)</x:f>
        <x:v>0</x:v>
      </x:c>
    </x:row>
    <x:row r="18" ht="27" customHeight="1">
      <x:c r="A18" s="28" t="str">
        <x:v>SPRINT 2 — Casos urgentes, sensibles y apoyo de IA</x:v>
      </x:c>
      <x:c r="B18" s="36"/>
      <x:c r="C18" s="37"/>
      <x:c r="D18" s="37"/>
      <x:c r="E18" s="37"/>
      <x:c r="F18" s="37"/>
      <x:c r="G18" s="37"/>
      <x:c r="H18" s="37"/>
      <x:c r="I18" s="37"/>
      <x:c r="J18" s="37"/>
      <x:c r="K18" s="37"/>
      <x:c r="L18" s="45"/>
      <x:c r="M18" s="37"/>
      <x:c r="N18" s="37"/>
      <x:c r="O18" s="37"/>
      <x:c r="P18" s="37"/>
      <x:c r="Q18" s="37"/>
      <x:c r="R18" s="37"/>
      <x:c r="S18" s="37"/>
      <x:c r="T18" s="37"/>
      <x:c r="U18" s="38"/>
    </x:row>
    <x:row r="19" ht="27" customHeight="1">
      <x:c r="A19" s="31" t="str">
        <x:f>A47</x:f>
        <x:v>Planificación S2</x:v>
      </x:c>
      <x:c r="B19" s="52" t="n">
        <x:f>IF(AND(B$7&gt;=$B47,B$7&lt;=$C47),1,0)</x:f>
        <x:v>0</x:v>
      </x:c>
      <x:c r="C19" s="53" t="n">
        <x:f>IF(AND(C$7&gt;=$B47,C$7&lt;=$C47),1,0)</x:f>
        <x:v>0</x:v>
      </x:c>
      <x:c r="D19" s="53" t="n">
        <x:f>IF(AND(D$7&gt;=$B47,D$7&lt;=$C47),1,0)</x:f>
        <x:v>0</x:v>
      </x:c>
      <x:c r="E19" s="53" t="n">
        <x:f>IF(AND(E$7&gt;=$B47,E$7&lt;=$C47),1,0)</x:f>
        <x:v>0</x:v>
      </x:c>
      <x:c r="F19" s="53" t="n">
        <x:f>IF(AND(F$7&gt;=$B47,F$7&lt;=$C47),1,0)</x:f>
        <x:v>0</x:v>
      </x:c>
      <x:c r="G19" s="53" t="n">
        <x:f>IF(AND(G$7&gt;=$B47,G$7&lt;=$C47),1,0)</x:f>
        <x:v>0</x:v>
      </x:c>
      <x:c r="H19" s="53" t="n">
        <x:f>IF(AND(H$7&gt;=$B47,H$7&lt;=$C47),1,0)</x:f>
        <x:v>0</x:v>
      </x:c>
      <x:c r="I19" s="53" t="n">
        <x:f>IF(AND(I$7&gt;=$B47,I$7&lt;=$C47),1,0)</x:f>
        <x:v>0</x:v>
      </x:c>
      <x:c r="J19" s="53" t="n">
        <x:f>IF(AND(J$7&gt;=$B47,J$7&lt;=$C47),1,0)</x:f>
        <x:v>0</x:v>
      </x:c>
      <x:c r="K19" s="53" t="n">
        <x:f>IF(AND(K$7&gt;=$B47,K$7&lt;=$C47),1,0)</x:f>
        <x:v>0</x:v>
      </x:c>
      <x:c r="L19" s="54" t="n">
        <x:f>IF(AND(L$7&gt;=$B47,L$7&lt;=$C47),1,0)</x:f>
        <x:v>1</x:v>
      </x:c>
      <x:c r="M19" s="53" t="n">
        <x:f>IF(AND(M$7&gt;=$B47,M$7&lt;=$C47),1,0)</x:f>
        <x:v>0</x:v>
      </x:c>
      <x:c r="N19" s="53" t="n">
        <x:f>IF(AND(N$7&gt;=$B47,N$7&lt;=$C47),1,0)</x:f>
        <x:v>0</x:v>
      </x:c>
      <x:c r="O19" s="53" t="n">
        <x:f>IF(AND(O$7&gt;=$B47,O$7&lt;=$C47),1,0)</x:f>
        <x:v>0</x:v>
      </x:c>
      <x:c r="P19" s="53" t="n">
        <x:f>IF(AND(P$7&gt;=$B47,P$7&lt;=$C47),1,0)</x:f>
        <x:v>0</x:v>
      </x:c>
      <x:c r="Q19" s="53" t="n">
        <x:f>IF(AND(Q$7&gt;=$B47,Q$7&lt;=$C47),1,0)</x:f>
        <x:v>0</x:v>
      </x:c>
      <x:c r="R19" s="53" t="n">
        <x:f>IF(AND(R$7&gt;=$B47,R$7&lt;=$C47),1,0)</x:f>
        <x:v>0</x:v>
      </x:c>
      <x:c r="S19" s="53" t="n">
        <x:f>IF(AND(S$7&gt;=$B47,S$7&lt;=$C47),1,0)</x:f>
        <x:v>0</x:v>
      </x:c>
      <x:c r="T19" s="53" t="n">
        <x:f>IF(AND(T$7&gt;=$B47,T$7&lt;=$C47),1,0)</x:f>
        <x:v>0</x:v>
      </x:c>
      <x:c r="U19" s="55" t="n">
        <x:f>IF(AND(U$7&gt;=$B47,U$7&lt;=$C47),1,0)</x:f>
        <x:v>0</x:v>
      </x:c>
    </x:row>
    <x:row r="20" ht="27" customHeight="1">
      <x:c r="A20" s="32" t="str">
        <x:f>A48</x:f>
        <x:v>Respuesta Ley Karin validada con responsables</x:v>
      </x:c>
      <x:c r="B20" s="48" t="n">
        <x:f>IF(AND(B$7&gt;=$B48,B$7&lt;=$C48),1,0)</x:f>
        <x:v>0</x:v>
      </x:c>
      <x:c r="C20" s="49" t="n">
        <x:f>IF(AND(C$7&gt;=$B48,C$7&lt;=$C48),1,0)</x:f>
        <x:v>0</x:v>
      </x:c>
      <x:c r="D20" s="49" t="n">
        <x:f>IF(AND(D$7&gt;=$B48,D$7&lt;=$C48),1,0)</x:f>
        <x:v>0</x:v>
      </x:c>
      <x:c r="E20" s="49" t="n">
        <x:f>IF(AND(E$7&gt;=$B48,E$7&lt;=$C48),1,0)</x:f>
        <x:v>0</x:v>
      </x:c>
      <x:c r="F20" s="49" t="n">
        <x:f>IF(AND(F$7&gt;=$B48,F$7&lt;=$C48),1,0)</x:f>
        <x:v>0</x:v>
      </x:c>
      <x:c r="G20" s="49" t="n">
        <x:f>IF(AND(G$7&gt;=$B48,G$7&lt;=$C48),1,0)</x:f>
        <x:v>0</x:v>
      </x:c>
      <x:c r="H20" s="49" t="n">
        <x:f>IF(AND(H$7&gt;=$B48,H$7&lt;=$C48),1,0)</x:f>
        <x:v>0</x:v>
      </x:c>
      <x:c r="I20" s="49" t="n">
        <x:f>IF(AND(I$7&gt;=$B48,I$7&lt;=$C48),1,0)</x:f>
        <x:v>0</x:v>
      </x:c>
      <x:c r="J20" s="49" t="n">
        <x:f>IF(AND(J$7&gt;=$B48,J$7&lt;=$C48),1,0)</x:f>
        <x:v>0</x:v>
      </x:c>
      <x:c r="K20" s="49" t="n">
        <x:f>IF(AND(K$7&gt;=$B48,K$7&lt;=$C48),1,0)</x:f>
        <x:v>0</x:v>
      </x:c>
      <x:c r="L20" s="50" t="n">
        <x:f>IF(AND(L$7&gt;=$B48,L$7&lt;=$C48),1,0)</x:f>
        <x:v>0</x:v>
      </x:c>
      <x:c r="M20" s="49" t="n">
        <x:f>IF(AND(M$7&gt;=$B48,M$7&lt;=$C48),1,0)</x:f>
        <x:v>1</x:v>
      </x:c>
      <x:c r="N20" s="49" t="n">
        <x:f>IF(AND(N$7&gt;=$B48,N$7&lt;=$C48),1,0)</x:f>
        <x:v>1</x:v>
      </x:c>
      <x:c r="O20" s="49" t="n">
        <x:f>IF(AND(O$7&gt;=$B48,O$7&lt;=$C48),1,0)</x:f>
        <x:v>1</x:v>
      </x:c>
      <x:c r="P20" s="49" t="n">
        <x:f>IF(AND(P$7&gt;=$B48,P$7&lt;=$C48),1,0)</x:f>
        <x:v>0</x:v>
      </x:c>
      <x:c r="Q20" s="49" t="n">
        <x:f>IF(AND(Q$7&gt;=$B48,Q$7&lt;=$C48),1,0)</x:f>
        <x:v>0</x:v>
      </x:c>
      <x:c r="R20" s="49" t="n">
        <x:f>IF(AND(R$7&gt;=$B48,R$7&lt;=$C48),1,0)</x:f>
        <x:v>0</x:v>
      </x:c>
      <x:c r="S20" s="49" t="n">
        <x:f>IF(AND(S$7&gt;=$B48,S$7&lt;=$C48),1,0)</x:f>
        <x:v>0</x:v>
      </x:c>
      <x:c r="T20" s="49" t="n">
        <x:f>IF(AND(T$7&gt;=$B48,T$7&lt;=$C48),1,0)</x:f>
        <x:v>0</x:v>
      </x:c>
      <x:c r="U20" s="51" t="n">
        <x:f>IF(AND(U$7&gt;=$B48,U$7&lt;=$C48),1,0)</x:f>
        <x:v>0</x:v>
      </x:c>
    </x:row>
    <x:row r="21" ht="27" customHeight="1">
      <x:c r="A21" s="31" t="str">
        <x:f>A49</x:f>
        <x:v>Ruta urgente y aviso a Jefatura Directa</x:v>
      </x:c>
      <x:c r="B21" s="52" t="n">
        <x:f>IF(AND(B$7&gt;=$B49,B$7&lt;=$C49),1,0)</x:f>
        <x:v>0</x:v>
      </x:c>
      <x:c r="C21" s="53" t="n">
        <x:f>IF(AND(C$7&gt;=$B49,C$7&lt;=$C49),1,0)</x:f>
        <x:v>0</x:v>
      </x:c>
      <x:c r="D21" s="53" t="n">
        <x:f>IF(AND(D$7&gt;=$B49,D$7&lt;=$C49),1,0)</x:f>
        <x:v>0</x:v>
      </x:c>
      <x:c r="E21" s="53" t="n">
        <x:f>IF(AND(E$7&gt;=$B49,E$7&lt;=$C49),1,0)</x:f>
        <x:v>0</x:v>
      </x:c>
      <x:c r="F21" s="53" t="n">
        <x:f>IF(AND(F$7&gt;=$B49,F$7&lt;=$C49),1,0)</x:f>
        <x:v>0</x:v>
      </x:c>
      <x:c r="G21" s="53" t="n">
        <x:f>IF(AND(G$7&gt;=$B49,G$7&lt;=$C49),1,0)</x:f>
        <x:v>0</x:v>
      </x:c>
      <x:c r="H21" s="53" t="n">
        <x:f>IF(AND(H$7&gt;=$B49,H$7&lt;=$C49),1,0)</x:f>
        <x:v>0</x:v>
      </x:c>
      <x:c r="I21" s="53" t="n">
        <x:f>IF(AND(I$7&gt;=$B49,I$7&lt;=$C49),1,0)</x:f>
        <x:v>0</x:v>
      </x:c>
      <x:c r="J21" s="53" t="n">
        <x:f>IF(AND(J$7&gt;=$B49,J$7&lt;=$C49),1,0)</x:f>
        <x:v>0</x:v>
      </x:c>
      <x:c r="K21" s="53" t="n">
        <x:f>IF(AND(K$7&gt;=$B49,K$7&lt;=$C49),1,0)</x:f>
        <x:v>0</x:v>
      </x:c>
      <x:c r="L21" s="54" t="n">
        <x:f>IF(AND(L$7&gt;=$B49,L$7&lt;=$C49),1,0)</x:f>
        <x:v>0</x:v>
      </x:c>
      <x:c r="M21" s="53" t="n">
        <x:f>IF(AND(M$7&gt;=$B49,M$7&lt;=$C49),1,0)</x:f>
        <x:v>1</x:v>
      </x:c>
      <x:c r="N21" s="53" t="n">
        <x:f>IF(AND(N$7&gt;=$B49,N$7&lt;=$C49),1,0)</x:f>
        <x:v>1</x:v>
      </x:c>
      <x:c r="O21" s="53" t="n">
        <x:f>IF(AND(O$7&gt;=$B49,O$7&lt;=$C49),1,0)</x:f>
        <x:v>1</x:v>
      </x:c>
      <x:c r="P21" s="53" t="n">
        <x:f>IF(AND(P$7&gt;=$B49,P$7&lt;=$C49),1,0)</x:f>
        <x:v>1</x:v>
      </x:c>
      <x:c r="Q21" s="53" t="n">
        <x:f>IF(AND(Q$7&gt;=$B49,Q$7&lt;=$C49),1,0)</x:f>
        <x:v>0</x:v>
      </x:c>
      <x:c r="R21" s="53" t="n">
        <x:f>IF(AND(R$7&gt;=$B49,R$7&lt;=$C49),1,0)</x:f>
        <x:v>0</x:v>
      </x:c>
      <x:c r="S21" s="53" t="n">
        <x:f>IF(AND(S$7&gt;=$B49,S$7&lt;=$C49),1,0)</x:f>
        <x:v>0</x:v>
      </x:c>
      <x:c r="T21" s="53" t="n">
        <x:f>IF(AND(T$7&gt;=$B49,T$7&lt;=$C49),1,0)</x:f>
        <x:v>0</x:v>
      </x:c>
      <x:c r="U21" s="55" t="n">
        <x:f>IF(AND(U$7&gt;=$B49,U$7&lt;=$C49),1,0)</x:f>
        <x:v>0</x:v>
      </x:c>
    </x:row>
    <x:row r="22" ht="27" customHeight="1">
      <x:c r="A22" s="32" t="str">
        <x:f>A50</x:f>
        <x:v>IA y búsqueda documental para consultas no previstas</x:v>
      </x:c>
      <x:c r="B22" s="48" t="n">
        <x:f>IF(AND(B$7&gt;=$B50,B$7&lt;=$C50),1,0)</x:f>
        <x:v>0</x:v>
      </x:c>
      <x:c r="C22" s="49" t="n">
        <x:f>IF(AND(C$7&gt;=$B50,C$7&lt;=$C50),1,0)</x:f>
        <x:v>0</x:v>
      </x:c>
      <x:c r="D22" s="49" t="n">
        <x:f>IF(AND(D$7&gt;=$B50,D$7&lt;=$C50),1,0)</x:f>
        <x:v>0</x:v>
      </x:c>
      <x:c r="E22" s="49" t="n">
        <x:f>IF(AND(E$7&gt;=$B50,E$7&lt;=$C50),1,0)</x:f>
        <x:v>0</x:v>
      </x:c>
      <x:c r="F22" s="49" t="n">
        <x:f>IF(AND(F$7&gt;=$B50,F$7&lt;=$C50),1,0)</x:f>
        <x:v>0</x:v>
      </x:c>
      <x:c r="G22" s="49" t="n">
        <x:f>IF(AND(G$7&gt;=$B50,G$7&lt;=$C50),1,0)</x:f>
        <x:v>0</x:v>
      </x:c>
      <x:c r="H22" s="49" t="n">
        <x:f>IF(AND(H$7&gt;=$B50,H$7&lt;=$C50),1,0)</x:f>
        <x:v>0</x:v>
      </x:c>
      <x:c r="I22" s="49" t="n">
        <x:f>IF(AND(I$7&gt;=$B50,I$7&lt;=$C50),1,0)</x:f>
        <x:v>0</x:v>
      </x:c>
      <x:c r="J22" s="49" t="n">
        <x:f>IF(AND(J$7&gt;=$B50,J$7&lt;=$C50),1,0)</x:f>
        <x:v>0</x:v>
      </x:c>
      <x:c r="K22" s="49" t="n">
        <x:f>IF(AND(K$7&gt;=$B50,K$7&lt;=$C50),1,0)</x:f>
        <x:v>0</x:v>
      </x:c>
      <x:c r="L22" s="50" t="n">
        <x:f>IF(AND(L$7&gt;=$B50,L$7&lt;=$C50),1,0)</x:f>
        <x:v>0</x:v>
      </x:c>
      <x:c r="M22" s="49" t="n">
        <x:f>IF(AND(M$7&gt;=$B50,M$7&lt;=$C50),1,0)</x:f>
        <x:v>0</x:v>
      </x:c>
      <x:c r="N22" s="49" t="n">
        <x:f>IF(AND(N$7&gt;=$B50,N$7&lt;=$C50),1,0)</x:f>
        <x:v>0</x:v>
      </x:c>
      <x:c r="O22" s="49" t="n">
        <x:f>IF(AND(O$7&gt;=$B50,O$7&lt;=$C50),1,0)</x:f>
        <x:v>1</x:v>
      </x:c>
      <x:c r="P22" s="49" t="n">
        <x:f>IF(AND(P$7&gt;=$B50,P$7&lt;=$C50),1,0)</x:f>
        <x:v>1</x:v>
      </x:c>
      <x:c r="Q22" s="49" t="n">
        <x:f>IF(AND(Q$7&gt;=$B50,Q$7&lt;=$C50),1,0)</x:f>
        <x:v>1</x:v>
      </x:c>
      <x:c r="R22" s="49" t="n">
        <x:f>IF(AND(R$7&gt;=$B50,R$7&lt;=$C50),1,0)</x:f>
        <x:v>1</x:v>
      </x:c>
      <x:c r="S22" s="49" t="n">
        <x:f>IF(AND(S$7&gt;=$B50,S$7&lt;=$C50),1,0)</x:f>
        <x:v>0</x:v>
      </x:c>
      <x:c r="T22" s="49" t="n">
        <x:f>IF(AND(T$7&gt;=$B50,T$7&lt;=$C50),1,0)</x:f>
        <x:v>0</x:v>
      </x:c>
      <x:c r="U22" s="51" t="n">
        <x:f>IF(AND(U$7&gt;=$B50,U$7&lt;=$C50),1,0)</x:f>
        <x:v>0</x:v>
      </x:c>
    </x:row>
    <x:row r="23" ht="27" customHeight="1">
      <x:c r="A23" s="31" t="str">
        <x:f>A51</x:f>
        <x:v>Coordinación diaria (10–15 min)</x:v>
      </x:c>
      <x:c r="B23" s="52" t="n">
        <x:f>IF(AND(B$7&gt;=$B51,B$7&lt;=$C51),1,0)</x:f>
        <x:v>0</x:v>
      </x:c>
      <x:c r="C23" s="53" t="n">
        <x:f>IF(AND(C$7&gt;=$B51,C$7&lt;=$C51),1,0)</x:f>
        <x:v>0</x:v>
      </x:c>
      <x:c r="D23" s="53" t="n">
        <x:f>IF(AND(D$7&gt;=$B51,D$7&lt;=$C51),1,0)</x:f>
        <x:v>0</x:v>
      </x:c>
      <x:c r="E23" s="53" t="n">
        <x:f>IF(AND(E$7&gt;=$B51,E$7&lt;=$C51),1,0)</x:f>
        <x:v>0</x:v>
      </x:c>
      <x:c r="F23" s="53" t="n">
        <x:f>IF(AND(F$7&gt;=$B51,F$7&lt;=$C51),1,0)</x:f>
        <x:v>0</x:v>
      </x:c>
      <x:c r="G23" s="53" t="n">
        <x:f>IF(AND(G$7&gt;=$B51,G$7&lt;=$C51),1,0)</x:f>
        <x:v>0</x:v>
      </x:c>
      <x:c r="H23" s="53" t="n">
        <x:f>IF(AND(H$7&gt;=$B51,H$7&lt;=$C51),1,0)</x:f>
        <x:v>0</x:v>
      </x:c>
      <x:c r="I23" s="53" t="n">
        <x:f>IF(AND(I$7&gt;=$B51,I$7&lt;=$C51),1,0)</x:f>
        <x:v>0</x:v>
      </x:c>
      <x:c r="J23" s="53" t="n">
        <x:f>IF(AND(J$7&gt;=$B51,J$7&lt;=$C51),1,0)</x:f>
        <x:v>0</x:v>
      </x:c>
      <x:c r="K23" s="53" t="n">
        <x:f>IF(AND(K$7&gt;=$B51,K$7&lt;=$C51),1,0)</x:f>
        <x:v>0</x:v>
      </x:c>
      <x:c r="L23" s="54" t="n">
        <x:f>IF(AND(L$7&gt;=$B51,L$7&lt;=$C51),1,0)</x:f>
        <x:v>1</x:v>
      </x:c>
      <x:c r="M23" s="53" t="n">
        <x:f>IF(AND(M$7&gt;=$B51,M$7&lt;=$C51),1,0)</x:f>
        <x:v>1</x:v>
      </x:c>
      <x:c r="N23" s="53" t="n">
        <x:f>IF(AND(N$7&gt;=$B51,N$7&lt;=$C51),1,0)</x:f>
        <x:v>1</x:v>
      </x:c>
      <x:c r="O23" s="53" t="n">
        <x:f>IF(AND(O$7&gt;=$B51,O$7&lt;=$C51),1,0)</x:f>
        <x:v>1</x:v>
      </x:c>
      <x:c r="P23" s="53" t="n">
        <x:f>IF(AND(P$7&gt;=$B51,P$7&lt;=$C51),1,0)</x:f>
        <x:v>1</x:v>
      </x:c>
      <x:c r="Q23" s="53" t="n">
        <x:f>IF(AND(Q$7&gt;=$B51,Q$7&lt;=$C51),1,0)</x:f>
        <x:v>1</x:v>
      </x:c>
      <x:c r="R23" s="53" t="n">
        <x:f>IF(AND(R$7&gt;=$B51,R$7&lt;=$C51),1,0)</x:f>
        <x:v>1</x:v>
      </x:c>
      <x:c r="S23" s="53" t="n">
        <x:f>IF(AND(S$7&gt;=$B51,S$7&lt;=$C51),1,0)</x:f>
        <x:v>1</x:v>
      </x:c>
      <x:c r="T23" s="53" t="n">
        <x:f>IF(AND(T$7&gt;=$B51,T$7&lt;=$C51),1,0)</x:f>
        <x:v>1</x:v>
      </x:c>
      <x:c r="U23" s="55" t="n">
        <x:f>IF(AND(U$7&gt;=$B51,U$7&lt;=$C51),1,0)</x:f>
        <x:v>0</x:v>
      </x:c>
    </x:row>
    <x:row r="24" ht="27" customHeight="1">
      <x:c r="A24" s="32" t="str">
        <x:f>A52</x:f>
        <x:v>Pruebas integrales de los cuatro casos</x:v>
      </x:c>
      <x:c r="B24" s="48" t="n">
        <x:f>IF(AND(B$7&gt;=$B52,B$7&lt;=$C52),1,0)</x:f>
        <x:v>0</x:v>
      </x:c>
      <x:c r="C24" s="49" t="n">
        <x:f>IF(AND(C$7&gt;=$B52,C$7&lt;=$C52),1,0)</x:f>
        <x:v>0</x:v>
      </x:c>
      <x:c r="D24" s="49" t="n">
        <x:f>IF(AND(D$7&gt;=$B52,D$7&lt;=$C52),1,0)</x:f>
        <x:v>0</x:v>
      </x:c>
      <x:c r="E24" s="49" t="n">
        <x:f>IF(AND(E$7&gt;=$B52,E$7&lt;=$C52),1,0)</x:f>
        <x:v>0</x:v>
      </x:c>
      <x:c r="F24" s="49" t="n">
        <x:f>IF(AND(F$7&gt;=$B52,F$7&lt;=$C52),1,0)</x:f>
        <x:v>0</x:v>
      </x:c>
      <x:c r="G24" s="49" t="n">
        <x:f>IF(AND(G$7&gt;=$B52,G$7&lt;=$C52),1,0)</x:f>
        <x:v>0</x:v>
      </x:c>
      <x:c r="H24" s="49" t="n">
        <x:f>IF(AND(H$7&gt;=$B52,H$7&lt;=$C52),1,0)</x:f>
        <x:v>0</x:v>
      </x:c>
      <x:c r="I24" s="49" t="n">
        <x:f>IF(AND(I$7&gt;=$B52,I$7&lt;=$C52),1,0)</x:f>
        <x:v>0</x:v>
      </x:c>
      <x:c r="J24" s="49" t="n">
        <x:f>IF(AND(J$7&gt;=$B52,J$7&lt;=$C52),1,0)</x:f>
        <x:v>0</x:v>
      </x:c>
      <x:c r="K24" s="49" t="n">
        <x:f>IF(AND(K$7&gt;=$B52,K$7&lt;=$C52),1,0)</x:f>
        <x:v>0</x:v>
      </x:c>
      <x:c r="L24" s="50" t="n">
        <x:f>IF(AND(L$7&gt;=$B52,L$7&lt;=$C52),1,0)</x:f>
        <x:v>0</x:v>
      </x:c>
      <x:c r="M24" s="49" t="n">
        <x:f>IF(AND(M$7&gt;=$B52,M$7&lt;=$C52),1,0)</x:f>
        <x:v>0</x:v>
      </x:c>
      <x:c r="N24" s="49" t="n">
        <x:f>IF(AND(N$7&gt;=$B52,N$7&lt;=$C52),1,0)</x:f>
        <x:v>0</x:v>
      </x:c>
      <x:c r="O24" s="49" t="n">
        <x:f>IF(AND(O$7&gt;=$B52,O$7&lt;=$C52),1,0)</x:f>
        <x:v>0</x:v>
      </x:c>
      <x:c r="P24" s="49" t="n">
        <x:f>IF(AND(P$7&gt;=$B52,P$7&lt;=$C52),1,0)</x:f>
        <x:v>0</x:v>
      </x:c>
      <x:c r="Q24" s="49" t="n">
        <x:f>IF(AND(Q$7&gt;=$B52,Q$7&lt;=$C52),1,0)</x:f>
        <x:v>0</x:v>
      </x:c>
      <x:c r="R24" s="49" t="n">
        <x:f>IF(AND(R$7&gt;=$B52,R$7&lt;=$C52),1,0)</x:f>
        <x:v>0</x:v>
      </x:c>
      <x:c r="S24" s="49" t="n">
        <x:f>IF(AND(S$7&gt;=$B52,S$7&lt;=$C52),1,0)</x:f>
        <x:v>1</x:v>
      </x:c>
      <x:c r="T24" s="49" t="n">
        <x:f>IF(AND(T$7&gt;=$B52,T$7&lt;=$C52),1,0)</x:f>
        <x:v>1</x:v>
      </x:c>
      <x:c r="U24" s="51" t="n">
        <x:f>IF(AND(U$7&gt;=$B52,U$7&lt;=$C52),1,0)</x:f>
        <x:v>0</x:v>
      </x:c>
    </x:row>
    <x:row r="25" ht="27" customHeight="1">
      <x:c r="A25" s="31" t="str">
        <x:f>A53</x:f>
        <x:v>Reporte básico de gestión (opcional)</x:v>
      </x:c>
      <x:c r="B25" s="52" t="n">
        <x:f>IF(AND(B$7&gt;=$B53,B$7&lt;=$C53),1,0)</x:f>
        <x:v>0</x:v>
      </x:c>
      <x:c r="C25" s="53" t="n">
        <x:f>IF(AND(C$7&gt;=$B53,C$7&lt;=$C53),1,0)</x:f>
        <x:v>0</x:v>
      </x:c>
      <x:c r="D25" s="53" t="n">
        <x:f>IF(AND(D$7&gt;=$B53,D$7&lt;=$C53),1,0)</x:f>
        <x:v>0</x:v>
      </x:c>
      <x:c r="E25" s="53" t="n">
        <x:f>IF(AND(E$7&gt;=$B53,E$7&lt;=$C53),1,0)</x:f>
        <x:v>0</x:v>
      </x:c>
      <x:c r="F25" s="53" t="n">
        <x:f>IF(AND(F$7&gt;=$B53,F$7&lt;=$C53),1,0)</x:f>
        <x:v>0</x:v>
      </x:c>
      <x:c r="G25" s="53" t="n">
        <x:f>IF(AND(G$7&gt;=$B53,G$7&lt;=$C53),1,0)</x:f>
        <x:v>0</x:v>
      </x:c>
      <x:c r="H25" s="53" t="n">
        <x:f>IF(AND(H$7&gt;=$B53,H$7&lt;=$C53),1,0)</x:f>
        <x:v>0</x:v>
      </x:c>
      <x:c r="I25" s="53" t="n">
        <x:f>IF(AND(I$7&gt;=$B53,I$7&lt;=$C53),1,0)</x:f>
        <x:v>0</x:v>
      </x:c>
      <x:c r="J25" s="53" t="n">
        <x:f>IF(AND(J$7&gt;=$B53,J$7&lt;=$C53),1,0)</x:f>
        <x:v>0</x:v>
      </x:c>
      <x:c r="K25" s="53" t="n">
        <x:f>IF(AND(K$7&gt;=$B53,K$7&lt;=$C53),1,0)</x:f>
        <x:v>0</x:v>
      </x:c>
      <x:c r="L25" s="54" t="n">
        <x:f>IF(AND(L$7&gt;=$B53,L$7&lt;=$C53),1,0)</x:f>
        <x:v>0</x:v>
      </x:c>
      <x:c r="M25" s="53" t="n">
        <x:f>IF(AND(M$7&gt;=$B53,M$7&lt;=$C53),1,0)</x:f>
        <x:v>0</x:v>
      </x:c>
      <x:c r="N25" s="53" t="n">
        <x:f>IF(AND(N$7&gt;=$B53,N$7&lt;=$C53),1,0)</x:f>
        <x:v>0</x:v>
      </x:c>
      <x:c r="O25" s="53" t="n">
        <x:f>IF(AND(O$7&gt;=$B53,O$7&lt;=$C53),1,0)</x:f>
        <x:v>0</x:v>
      </x:c>
      <x:c r="P25" s="53" t="n">
        <x:f>IF(AND(P$7&gt;=$B53,P$7&lt;=$C53),1,0)</x:f>
        <x:v>0</x:v>
      </x:c>
      <x:c r="Q25" s="53" t="n">
        <x:f>IF(AND(Q$7&gt;=$B53,Q$7&lt;=$C53),1,0)</x:f>
        <x:v>1</x:v>
      </x:c>
      <x:c r="R25" s="53" t="n">
        <x:f>IF(AND(R$7&gt;=$B53,R$7&lt;=$C53),1,0)</x:f>
        <x:v>1</x:v>
      </x:c>
      <x:c r="S25" s="53" t="n">
        <x:f>IF(AND(S$7&gt;=$B53,S$7&lt;=$C53),1,0)</x:f>
        <x:v>1</x:v>
      </x:c>
      <x:c r="T25" s="53" t="n">
        <x:f>IF(AND(T$7&gt;=$B53,T$7&lt;=$C53),1,0)</x:f>
        <x:v>0</x:v>
      </x:c>
      <x:c r="U25" s="55" t="n">
        <x:f>IF(AND(U$7&gt;=$B53,U$7&lt;=$C53),1,0)</x:f>
        <x:v>0</x:v>
      </x:c>
    </x:row>
    <x:row r="26" ht="27" customHeight="1">
      <x:c r="A26" s="32" t="str">
        <x:f>A54</x:f>
        <x:v>Revisión S2: demostración final</x:v>
      </x:c>
      <x:c r="B26" s="48" t="n">
        <x:f>IF(AND(B$7&gt;=$B54,B$7&lt;=$C54),1,0)</x:f>
        <x:v>0</x:v>
      </x:c>
      <x:c r="C26" s="49" t="n">
        <x:f>IF(AND(C$7&gt;=$B54,C$7&lt;=$C54),1,0)</x:f>
        <x:v>0</x:v>
      </x:c>
      <x:c r="D26" s="49" t="n">
        <x:f>IF(AND(D$7&gt;=$B54,D$7&lt;=$C54),1,0)</x:f>
        <x:v>0</x:v>
      </x:c>
      <x:c r="E26" s="49" t="n">
        <x:f>IF(AND(E$7&gt;=$B54,E$7&lt;=$C54),1,0)</x:f>
        <x:v>0</x:v>
      </x:c>
      <x:c r="F26" s="49" t="n">
        <x:f>IF(AND(F$7&gt;=$B54,F$7&lt;=$C54),1,0)</x:f>
        <x:v>0</x:v>
      </x:c>
      <x:c r="G26" s="49" t="n">
        <x:f>IF(AND(G$7&gt;=$B54,G$7&lt;=$C54),1,0)</x:f>
        <x:v>0</x:v>
      </x:c>
      <x:c r="H26" s="49" t="n">
        <x:f>IF(AND(H$7&gt;=$B54,H$7&lt;=$C54),1,0)</x:f>
        <x:v>0</x:v>
      </x:c>
      <x:c r="I26" s="49" t="n">
        <x:f>IF(AND(I$7&gt;=$B54,I$7&lt;=$C54),1,0)</x:f>
        <x:v>0</x:v>
      </x:c>
      <x:c r="J26" s="49" t="n">
        <x:f>IF(AND(J$7&gt;=$B54,J$7&lt;=$C54),1,0)</x:f>
        <x:v>0</x:v>
      </x:c>
      <x:c r="K26" s="49" t="n">
        <x:f>IF(AND(K$7&gt;=$B54,K$7&lt;=$C54),1,0)</x:f>
        <x:v>0</x:v>
      </x:c>
      <x:c r="L26" s="50" t="n">
        <x:f>IF(AND(L$7&gt;=$B54,L$7&lt;=$C54),1,0)</x:f>
        <x:v>0</x:v>
      </x:c>
      <x:c r="M26" s="49" t="n">
        <x:f>IF(AND(M$7&gt;=$B54,M$7&lt;=$C54),1,0)</x:f>
        <x:v>0</x:v>
      </x:c>
      <x:c r="N26" s="49" t="n">
        <x:f>IF(AND(N$7&gt;=$B54,N$7&lt;=$C54),1,0)</x:f>
        <x:v>0</x:v>
      </x:c>
      <x:c r="O26" s="49" t="n">
        <x:f>IF(AND(O$7&gt;=$B54,O$7&lt;=$C54),1,0)</x:f>
        <x:v>0</x:v>
      </x:c>
      <x:c r="P26" s="49" t="n">
        <x:f>IF(AND(P$7&gt;=$B54,P$7&lt;=$C54),1,0)</x:f>
        <x:v>0</x:v>
      </x:c>
      <x:c r="Q26" s="49" t="n">
        <x:f>IF(AND(Q$7&gt;=$B54,Q$7&lt;=$C54),1,0)</x:f>
        <x:v>0</x:v>
      </x:c>
      <x:c r="R26" s="49" t="n">
        <x:f>IF(AND(R$7&gt;=$B54,R$7&lt;=$C54),1,0)</x:f>
        <x:v>0</x:v>
      </x:c>
      <x:c r="S26" s="49" t="n">
        <x:f>IF(AND(S$7&gt;=$B54,S$7&lt;=$C54),1,0)</x:f>
        <x:v>0</x:v>
      </x:c>
      <x:c r="T26" s="49" t="n">
        <x:f>IF(AND(T$7&gt;=$B54,T$7&lt;=$C54),1,0)</x:f>
        <x:v>0</x:v>
      </x:c>
      <x:c r="U26" s="51" t="n">
        <x:f>IF(AND(U$7&gt;=$B54,U$7&lt;=$C54),1,0)</x:f>
        <x:v>1</x:v>
      </x:c>
    </x:row>
    <x:row r="27" ht="27" customHeight="1">
      <x:c r="A27" s="31" t="str">
        <x:f>A55</x:f>
        <x:v>Retrospectiva S2 y cierre documental</x:v>
      </x:c>
      <x:c r="B27" s="52" t="n">
        <x:f>IF(AND(B$7&gt;=$B55,B$7&lt;=$C55),1,0)</x:f>
        <x:v>0</x:v>
      </x:c>
      <x:c r="C27" s="53" t="n">
        <x:f>IF(AND(C$7&gt;=$B55,C$7&lt;=$C55),1,0)</x:f>
        <x:v>0</x:v>
      </x:c>
      <x:c r="D27" s="53" t="n">
        <x:f>IF(AND(D$7&gt;=$B55,D$7&lt;=$C55),1,0)</x:f>
        <x:v>0</x:v>
      </x:c>
      <x:c r="E27" s="53" t="n">
        <x:f>IF(AND(E$7&gt;=$B55,E$7&lt;=$C55),1,0)</x:f>
        <x:v>0</x:v>
      </x:c>
      <x:c r="F27" s="53" t="n">
        <x:f>IF(AND(F$7&gt;=$B55,F$7&lt;=$C55),1,0)</x:f>
        <x:v>0</x:v>
      </x:c>
      <x:c r="G27" s="53" t="n">
        <x:f>IF(AND(G$7&gt;=$B55,G$7&lt;=$C55),1,0)</x:f>
        <x:v>0</x:v>
      </x:c>
      <x:c r="H27" s="53" t="n">
        <x:f>IF(AND(H$7&gt;=$B55,H$7&lt;=$C55),1,0)</x:f>
        <x:v>0</x:v>
      </x:c>
      <x:c r="I27" s="53" t="n">
        <x:f>IF(AND(I$7&gt;=$B55,I$7&lt;=$C55),1,0)</x:f>
        <x:v>0</x:v>
      </x:c>
      <x:c r="J27" s="53" t="n">
        <x:f>IF(AND(J$7&gt;=$B55,J$7&lt;=$C55),1,0)</x:f>
        <x:v>0</x:v>
      </x:c>
      <x:c r="K27" s="53" t="n">
        <x:f>IF(AND(K$7&gt;=$B55,K$7&lt;=$C55),1,0)</x:f>
        <x:v>0</x:v>
      </x:c>
      <x:c r="L27" s="54" t="n">
        <x:f>IF(AND(L$7&gt;=$B55,L$7&lt;=$C55),1,0)</x:f>
        <x:v>0</x:v>
      </x:c>
      <x:c r="M27" s="53" t="n">
        <x:f>IF(AND(M$7&gt;=$B55,M$7&lt;=$C55),1,0)</x:f>
        <x:v>0</x:v>
      </x:c>
      <x:c r="N27" s="53" t="n">
        <x:f>IF(AND(N$7&gt;=$B55,N$7&lt;=$C55),1,0)</x:f>
        <x:v>0</x:v>
      </x:c>
      <x:c r="O27" s="53" t="n">
        <x:f>IF(AND(O$7&gt;=$B55,O$7&lt;=$C55),1,0)</x:f>
        <x:v>0</x:v>
      </x:c>
      <x:c r="P27" s="53" t="n">
        <x:f>IF(AND(P$7&gt;=$B55,P$7&lt;=$C55),1,0)</x:f>
        <x:v>0</x:v>
      </x:c>
      <x:c r="Q27" s="53" t="n">
        <x:f>IF(AND(Q$7&gt;=$B55,Q$7&lt;=$C55),1,0)</x:f>
        <x:v>0</x:v>
      </x:c>
      <x:c r="R27" s="53" t="n">
        <x:f>IF(AND(R$7&gt;=$B55,R$7&lt;=$C55),1,0)</x:f>
        <x:v>0</x:v>
      </x:c>
      <x:c r="S27" s="53" t="n">
        <x:f>IF(AND(S$7&gt;=$B55,S$7&lt;=$C55),1,0)</x:f>
        <x:v>0</x:v>
      </x:c>
      <x:c r="T27" s="53" t="n">
        <x:f>IF(AND(T$7&gt;=$B55,T$7&lt;=$C55),1,0)</x:f>
        <x:v>0</x:v>
      </x:c>
      <x:c r="U27" s="55" t="n">
        <x:f>IF(AND(U$7&gt;=$B55,U$7&lt;=$C55),1,0)</x:f>
        <x:v>1</x:v>
      </x:c>
    </x:row>
    <x:row r="28" ht="23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 ht="23" customHeight="1">
      <x:c r="A29" s="12"/>
      <x:c r="B29" s="57" t="str">
        <x:v>Tarea Sprint 1</x:v>
      </x:c>
      <x:c r="C29" s="57"/>
      <x:c r="D29" s="57"/>
      <x:c r="E29" s="57"/>
      <x:c r="F29" s="57"/>
      <x:c r="G29" s="59" t="str">
        <x:v>Tarea Sprint 2</x:v>
      </x:c>
      <x:c r="H29" s="59"/>
      <x:c r="I29" s="59"/>
      <x:c r="J29" s="59"/>
      <x:c r="K29" s="59"/>
      <x:c r="L29" s="61" t="str">
        <x:v>Ceremonia Scrum</x:v>
      </x:c>
      <x:c r="M29" s="61"/>
      <x:c r="N29" s="61"/>
      <x:c r="O29" s="61"/>
      <x:c r="P29" s="61"/>
      <x:c r="Q29" s="63" t="str">
        <x:v>Coordinación diaria</x:v>
      </x:c>
      <x:c r="R29" s="63"/>
      <x:c r="S29" s="63"/>
      <x:c r="T29" s="63"/>
      <x:c r="U29" s="63"/>
    </x:row>
    <x:row r="30" ht="23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 ht="23" customHeight="1">
      <x:c r="A31" s="64" t="str">
        <x:v>Aviso inicial de accidentes: Jefatura Directa. Validar los contenidos sensibles antes del uso real.</x:v>
      </x:c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</x:row>
    <x:row r="32" ht="23" customHeight="1">
      <x:c r="A32" s="64" t="str">
        <x:v>Las tareas pueden avanzar en paralelo. Las revisiones y retrospectivas cierran cada ciclo. El reporte de gestión es opcional.</x:v>
      </x:c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</x:row>
    <x:row r="33" ht="23" customHeight="1">
      <x:c r="A33" s="64" t="str">
        <x:v>Fuente: referencia visual proporcionada y cronograma detallado de ADIPA; ruta de accidentes ajustada al procedimiento interno.</x:v>
      </x:c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</x:row>
    <x:row r="34" ht="23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>
      <x:c r="A35" s="29" t="str">
        <x:v>Programación editable</x:v>
      </x:c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</x:row>
    <x:row r="36">
      <x:c r="A36" s="30" t="str">
        <x:v>Modifica los días de inicio y fin para actualizar las barras. El plan contempla desarrollo e integraciones pendientes.</x:v>
      </x:c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</x:row>
    <x:row r="37">
      <x:c r="A37" s="66" t="str">
        <x:v>Actividad</x:v>
      </x:c>
      <x:c r="B37" s="66" t="str">
        <x:v>Inicio</x:v>
      </x:c>
      <x:c r="C37" s="66" t="str">
        <x:v>Fin</x:v>
      </x:c>
      <x:c r="D37" s="66" t="str">
        <x:v>Tipo</x:v>
      </x:c>
      <x:c r="E37" s="66"/>
      <x:c r="F37" s="66"/>
      <x:c r="G37" s="66"/>
      <x:c r="H37" s="66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</x:row>
    <x:row r="38" ht="25" customHeight="1">
      <x:c r="A38" s="30" t="str">
        <x:v>Planificación S1: objetivo, tareas y diseño</x:v>
      </x:c>
      <x:c r="B38" s="68" t="n">
        <x:v>1</x:v>
      </x:c>
      <x:c r="C38" s="68" t="n">
        <x:v>1</x:v>
      </x:c>
      <x:c r="D38" s="30" t="str">
        <x:v>Ceremonia Scrum</x:v>
      </x:c>
      <x:c r="E38" s="30"/>
      <x:c r="F38" s="30"/>
      <x:c r="G38" s="30"/>
      <x:c r="H38" s="30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</x:row>
    <x:row r="39" ht="25" customHeight="1">
      <x:c r="A39" s="30" t="str">
        <x:v>Configurar canal común y recepción en n8n</x:v>
      </x:c>
      <x:c r="B39" s="68" t="n">
        <x:v>2</x:v>
      </x:c>
      <x:c r="C39" s="68" t="n">
        <x:v>3</x:v>
      </x:c>
      <x:c r="D39" s="30" t="str">
        <x:v>Tarea Sprint 1</x:v>
      </x:c>
      <x:c r="E39" s="30"/>
      <x:c r="F39" s="30"/>
      <x:c r="G39" s="30"/>
      <x:c r="H39" s="30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</x:row>
    <x:row r="40" ht="25" customHeight="1">
      <x:c r="A40" s="30" t="str">
        <x:v>Reglas de clasificación: vacaciones y accesos</x:v>
      </x:c>
      <x:c r="B40" s="68" t="n">
        <x:v>2</x:v>
      </x:c>
      <x:c r="C40" s="68" t="n">
        <x:v>4</x:v>
      </x:c>
      <x:c r="D40" s="30" t="str">
        <x:v>Tarea Sprint 1</x:v>
      </x:c>
      <x:c r="E40" s="30"/>
      <x:c r="F40" s="30"/>
      <x:c r="G40" s="30"/>
      <x:c r="H40" s="30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</x:row>
    <x:row r="41" ht="25" customHeight="1">
      <x:c r="A41" s="30" t="str">
        <x:v>Respuestas documentadas: vacaciones y accesos</x:v>
      </x:c>
      <x:c r="B41" s="68" t="n">
        <x:v>4</x:v>
      </x:c>
      <x:c r="C41" s="68" t="n">
        <x:v>6</x:v>
      </x:c>
      <x:c r="D41" s="30" t="str">
        <x:v>Tarea Sprint 1</x:v>
      </x:c>
      <x:c r="E41" s="30"/>
      <x:c r="F41" s="30"/>
      <x:c r="G41" s="30"/>
      <x:c r="H41" s="30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</x:row>
    <x:row r="42" ht="25" customHeight="1">
      <x:c r="A42" s="30" t="str">
        <x:v>Registro central para todas las rutas</x:v>
      </x:c>
      <x:c r="B42" s="68" t="n">
        <x:v>5</x:v>
      </x:c>
      <x:c r="C42" s="68" t="n">
        <x:v>7</x:v>
      </x:c>
      <x:c r="D42" s="30" t="str">
        <x:v>Tarea Sprint 1</x:v>
      </x:c>
      <x:c r="E42" s="30"/>
      <x:c r="F42" s="30"/>
      <x:c r="G42" s="30"/>
      <x:c r="H42" s="30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</x:row>
    <x:row r="43" ht="25" customHeight="1">
      <x:c r="A43" s="30" t="str">
        <x:v>Coordinación diaria (10–15 min)</x:v>
      </x:c>
      <x:c r="B43" s="68" t="n">
        <x:v>1</x:v>
      </x:c>
      <x:c r="C43" s="68" t="n">
        <x:v>9</x:v>
      </x:c>
      <x:c r="D43" s="30" t="str">
        <x:v>Coordinación diaria</x:v>
      </x:c>
      <x:c r="E43" s="30"/>
      <x:c r="F43" s="30"/>
      <x:c r="G43" s="30"/>
      <x:c r="H43" s="30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</x:row>
    <x:row r="44" ht="25" customHeight="1">
      <x:c r="A44" s="30" t="str">
        <x:v>Pruebas de vacaciones y accesos</x:v>
      </x:c>
      <x:c r="B44" s="68" t="n">
        <x:v>8</x:v>
      </x:c>
      <x:c r="C44" s="68" t="n">
        <x:v>9</x:v>
      </x:c>
      <x:c r="D44" s="30" t="str">
        <x:v>Tarea Sprint 1</x:v>
      </x:c>
      <x:c r="E44" s="30"/>
      <x:c r="F44" s="30"/>
      <x:c r="G44" s="30"/>
      <x:c r="H44" s="30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</x:row>
    <x:row r="45" ht="25" customHeight="1">
      <x:c r="A45" s="30" t="str">
        <x:v>Revisión S1: demostración de avances</x:v>
      </x:c>
      <x:c r="B45" s="68" t="n">
        <x:v>10</x:v>
      </x:c>
      <x:c r="C45" s="68" t="n">
        <x:v>10</x:v>
      </x:c>
      <x:c r="D45" s="30" t="str">
        <x:v>Ceremonia Scrum</x:v>
      </x:c>
      <x:c r="E45" s="30"/>
      <x:c r="F45" s="30"/>
      <x:c r="G45" s="30"/>
      <x:c r="H45" s="30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</x:row>
    <x:row r="46" ht="25" customHeight="1">
      <x:c r="A46" s="30" t="str">
        <x:v>Retrospectiva S1: acuerdos de mejora</x:v>
      </x:c>
      <x:c r="B46" s="68" t="n">
        <x:v>10</x:v>
      </x:c>
      <x:c r="C46" s="68" t="n">
        <x:v>10</x:v>
      </x:c>
      <x:c r="D46" s="30" t="str">
        <x:v>Ceremonia Scrum</x:v>
      </x:c>
      <x:c r="E46" s="30"/>
      <x:c r="F46" s="30"/>
      <x:c r="G46" s="30"/>
      <x:c r="H46" s="30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</x:row>
    <x:row r="47" ht="25" customHeight="1">
      <x:c r="A47" s="30" t="str">
        <x:v>Planificación S2</x:v>
      </x:c>
      <x:c r="B47" s="68" t="n">
        <x:v>11</x:v>
      </x:c>
      <x:c r="C47" s="68" t="n">
        <x:v>11</x:v>
      </x:c>
      <x:c r="D47" s="30" t="str">
        <x:v>Ceremonia Scrum</x:v>
      </x:c>
      <x:c r="E47" s="30"/>
      <x:c r="F47" s="30"/>
      <x:c r="G47" s="30"/>
      <x:c r="H47" s="30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</x:row>
    <x:row r="48" ht="25" customHeight="1">
      <x:c r="A48" s="30" t="str">
        <x:v>Respuesta Ley Karin validada con responsables</x:v>
      </x:c>
      <x:c r="B48" s="68" t="n">
        <x:v>12</x:v>
      </x:c>
      <x:c r="C48" s="68" t="n">
        <x:v>14</x:v>
      </x:c>
      <x:c r="D48" s="30" t="str">
        <x:v>Tarea Sprint 2</x:v>
      </x:c>
      <x:c r="E48" s="30"/>
      <x:c r="F48" s="30"/>
      <x:c r="G48" s="30"/>
      <x:c r="H48" s="30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</x:row>
    <x:row r="49" ht="25" customHeight="1">
      <x:c r="A49" s="30" t="str">
        <x:v>Ruta urgente y aviso a Jefatura Directa</x:v>
      </x:c>
      <x:c r="B49" s="68" t="n">
        <x:v>12</x:v>
      </x:c>
      <x:c r="C49" s="68" t="n">
        <x:v>15</x:v>
      </x:c>
      <x:c r="D49" s="30" t="str">
        <x:v>Tarea Sprint 2</x:v>
      </x:c>
      <x:c r="E49" s="30"/>
      <x:c r="F49" s="30"/>
      <x:c r="G49" s="30"/>
      <x:c r="H49" s="30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</x:row>
    <x:row r="50" ht="25" customHeight="1">
      <x:c r="A50" s="30" t="str">
        <x:v>IA y búsqueda documental para consultas no previstas</x:v>
      </x:c>
      <x:c r="B50" s="68" t="n">
        <x:v>14</x:v>
      </x:c>
      <x:c r="C50" s="68" t="n">
        <x:v>17</x:v>
      </x:c>
      <x:c r="D50" s="30" t="str">
        <x:v>Tarea Sprint 2</x:v>
      </x:c>
      <x:c r="E50" s="30"/>
      <x:c r="F50" s="30"/>
      <x:c r="G50" s="30"/>
      <x:c r="H50" s="30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</x:row>
    <x:row r="51" ht="25" customHeight="1">
      <x:c r="A51" s="30" t="str">
        <x:v>Coordinación diaria (10–15 min)</x:v>
      </x:c>
      <x:c r="B51" s="68" t="n">
        <x:v>11</x:v>
      </x:c>
      <x:c r="C51" s="68" t="n">
        <x:v>19</x:v>
      </x:c>
      <x:c r="D51" s="30" t="str">
        <x:v>Coordinación diaria</x:v>
      </x:c>
      <x:c r="E51" s="30"/>
      <x:c r="F51" s="30"/>
      <x:c r="G51" s="30"/>
      <x:c r="H51" s="30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</x:row>
    <x:row r="52" ht="25" customHeight="1">
      <x:c r="A52" s="30" t="str">
        <x:v>Pruebas integrales de los cuatro casos</x:v>
      </x:c>
      <x:c r="B52" s="68" t="n">
        <x:v>18</x:v>
      </x:c>
      <x:c r="C52" s="68" t="n">
        <x:v>19</x:v>
      </x:c>
      <x:c r="D52" s="30" t="str">
        <x:v>Tarea Sprint 2</x:v>
      </x:c>
      <x:c r="E52" s="30"/>
      <x:c r="F52" s="30"/>
      <x:c r="G52" s="30"/>
      <x:c r="H52" s="30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</x:row>
    <x:row r="53" ht="25" customHeight="1">
      <x:c r="A53" s="30" t="str">
        <x:v>Reporte básico de gestión (opcional)</x:v>
      </x:c>
      <x:c r="B53" s="68" t="n">
        <x:v>16</x:v>
      </x:c>
      <x:c r="C53" s="68" t="n">
        <x:v>18</x:v>
      </x:c>
      <x:c r="D53" s="30" t="str">
        <x:v>Tarea Sprint 2</x:v>
      </x:c>
      <x:c r="E53" s="30"/>
      <x:c r="F53" s="30"/>
      <x:c r="G53" s="30"/>
      <x:c r="H53" s="30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</x:row>
    <x:row r="54" ht="25" customHeight="1">
      <x:c r="A54" s="30" t="str">
        <x:v>Revisión S2: demostración final</x:v>
      </x:c>
      <x:c r="B54" s="68" t="n">
        <x:v>20</x:v>
      </x:c>
      <x:c r="C54" s="68" t="n">
        <x:v>20</x:v>
      </x:c>
      <x:c r="D54" s="30" t="str">
        <x:v>Ceremonia Scrum</x:v>
      </x:c>
      <x:c r="E54" s="30"/>
      <x:c r="F54" s="30"/>
      <x:c r="G54" s="30"/>
      <x:c r="H54" s="30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</x:row>
    <x:row r="55" ht="25" customHeight="1">
      <x:c r="A55" s="30" t="str">
        <x:v>Retrospectiva S2 y cierre documental</x:v>
      </x:c>
      <x:c r="B55" s="68" t="n">
        <x:v>20</x:v>
      </x:c>
      <x:c r="C55" s="68" t="n">
        <x:v>20</x:v>
      </x:c>
      <x:c r="D55" s="30" t="str">
        <x:v>Ceremonia Scrum</x:v>
      </x:c>
      <x:c r="E55" s="30"/>
      <x:c r="F55" s="30"/>
      <x:c r="G55" s="30"/>
      <x:c r="H55" s="30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</x:row>
  </x:sheetData>
  <x:mergeCells>
    <x:mergeCell ref="A1:U1"/>
    <x:mergeCell ref="A2:U2"/>
    <x:mergeCell ref="A4:U4"/>
    <x:mergeCell ref="A5:U5"/>
    <x:mergeCell ref="B6:F6"/>
    <x:mergeCell ref="G6:K6"/>
    <x:mergeCell ref="L6:P6"/>
    <x:mergeCell ref="Q6:U6"/>
    <x:mergeCell ref="A8:U8"/>
    <x:mergeCell ref="A18:U18"/>
    <x:mergeCell ref="A35:U35"/>
    <x:mergeCell ref="A36:U36"/>
    <x:mergeCell ref="D37:H37"/>
    <x:mergeCell ref="D38:H38"/>
    <x:mergeCell ref="D39:H39"/>
    <x:mergeCell ref="D40:H40"/>
    <x:mergeCell ref="D41:H41"/>
    <x:mergeCell ref="D42:H42"/>
    <x:mergeCell ref="D43:H43"/>
    <x:mergeCell ref="D44:H44"/>
    <x:mergeCell ref="D45:H45"/>
    <x:mergeCell ref="D46:H46"/>
    <x:mergeCell ref="D47:H47"/>
    <x:mergeCell ref="D48:H48"/>
    <x:mergeCell ref="D49:H49"/>
    <x:mergeCell ref="D50:H50"/>
    <x:mergeCell ref="D51:H51"/>
    <x:mergeCell ref="D52:H52"/>
    <x:mergeCell ref="D53:H53"/>
    <x:mergeCell ref="D54:H54"/>
    <x:mergeCell ref="D55:H55"/>
    <x:mergeCell ref="B29:F29"/>
    <x:mergeCell ref="G29:K29"/>
    <x:mergeCell ref="L29:P29"/>
    <x:mergeCell ref="Q29:U29"/>
    <x:mergeCell ref="A31:U31"/>
    <x:mergeCell ref="A32:U32"/>
    <x:mergeCell ref="A33:U33"/>
  </x:mergeCells>
  <x:conditionalFormatting sqref="B9:U9">
    <x:cfRule type="cellIs" dxfId="0" priority="1" operator="equal">
      <x:formula>1</x:formula>
    </x:cfRule>
  </x:conditionalFormatting>
  <x:conditionalFormatting sqref="B10:U10">
    <x:cfRule type="cellIs" dxfId="1" priority="2" operator="equal">
      <x:formula>1</x:formula>
    </x:cfRule>
  </x:conditionalFormatting>
  <x:conditionalFormatting sqref="B11:U11">
    <x:cfRule type="cellIs" dxfId="2" priority="3" operator="equal">
      <x:formula>1</x:formula>
    </x:cfRule>
  </x:conditionalFormatting>
  <x:conditionalFormatting sqref="B12:U12">
    <x:cfRule type="cellIs" dxfId="3" priority="4" operator="equal">
      <x:formula>1</x:formula>
    </x:cfRule>
  </x:conditionalFormatting>
  <x:conditionalFormatting sqref="B13:U13">
    <x:cfRule type="cellIs" dxfId="4" priority="5" operator="equal">
      <x:formula>1</x:formula>
    </x:cfRule>
  </x:conditionalFormatting>
  <x:conditionalFormatting sqref="B14:U14">
    <x:cfRule type="cellIs" dxfId="5" priority="6" operator="equal">
      <x:formula>1</x:formula>
    </x:cfRule>
  </x:conditionalFormatting>
  <x:conditionalFormatting sqref="B15:U15">
    <x:cfRule type="cellIs" dxfId="6" priority="7" operator="equal">
      <x:formula>1</x:formula>
    </x:cfRule>
  </x:conditionalFormatting>
  <x:conditionalFormatting sqref="B16:U16">
    <x:cfRule type="cellIs" dxfId="7" priority="8" operator="equal">
      <x:formula>1</x:formula>
    </x:cfRule>
  </x:conditionalFormatting>
  <x:conditionalFormatting sqref="B17:U17">
    <x:cfRule type="cellIs" dxfId="8" priority="9" operator="equal">
      <x:formula>1</x:formula>
    </x:cfRule>
  </x:conditionalFormatting>
  <x:conditionalFormatting sqref="B19:U19">
    <x:cfRule type="cellIs" dxfId="9" priority="10" operator="equal">
      <x:formula>1</x:formula>
    </x:cfRule>
  </x:conditionalFormatting>
  <x:conditionalFormatting sqref="B20:U20">
    <x:cfRule type="cellIs" dxfId="10" priority="11" operator="equal">
      <x:formula>1</x:formula>
    </x:cfRule>
  </x:conditionalFormatting>
  <x:conditionalFormatting sqref="B21:U21">
    <x:cfRule type="cellIs" dxfId="11" priority="12" operator="equal">
      <x:formula>1</x:formula>
    </x:cfRule>
  </x:conditionalFormatting>
  <x:conditionalFormatting sqref="B22:U22">
    <x:cfRule type="cellIs" dxfId="12" priority="13" operator="equal">
      <x:formula>1</x:formula>
    </x:cfRule>
  </x:conditionalFormatting>
  <x:conditionalFormatting sqref="B23:U23">
    <x:cfRule type="cellIs" dxfId="13" priority="14" operator="equal">
      <x:formula>1</x:formula>
    </x:cfRule>
  </x:conditionalFormatting>
  <x:conditionalFormatting sqref="B24:U24">
    <x:cfRule type="cellIs" dxfId="14" priority="15" operator="equal">
      <x:formula>1</x:formula>
    </x:cfRule>
  </x:conditionalFormatting>
  <x:conditionalFormatting sqref="B25:U25">
    <x:cfRule type="cellIs" dxfId="15" priority="16" operator="equal">
      <x:formula>1</x:formula>
    </x:cfRule>
  </x:conditionalFormatting>
  <x:conditionalFormatting sqref="B26:U26">
    <x:cfRule type="cellIs" dxfId="16" priority="17" operator="equal">
      <x:formula>1</x:formula>
    </x:cfRule>
  </x:conditionalFormatting>
  <x:conditionalFormatting sqref="B27:U27">
    <x:cfRule type="cellIs" dxfId="17" priority="18" operator="equal">
      <x:formula>1</x:formula>
    </x:cfRule>
  </x:conditionalFormatting>
  <x:pageMargins left="0.7" right="0.7" top="0.75" bottom="0.75" header="0.3" footer="0.3"/>
</x:worksheet>
</file>